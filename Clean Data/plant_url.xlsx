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10.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0309683e1721122f/Desktop/Excel Decode/"/>
    </mc:Choice>
  </mc:AlternateContent>
  <xr:revisionPtr revIDLastSave="247" documentId="13_ncr:1_{CACD3170-C655-46F9-BE51-717E7F2D6BA0}" xr6:coauthVersionLast="47" xr6:coauthVersionMax="47" xr10:uidLastSave="{7AA39114-1BB3-47E3-9D1A-54E6B7C5293D}"/>
  <bookViews>
    <workbookView xWindow="-108" yWindow="-108" windowWidth="23256" windowHeight="12456" firstSheet="8" activeTab="11" xr2:uid="{00000000-000D-0000-FFFF-FFFF00000000}"/>
  </bookViews>
  <sheets>
    <sheet name="Pivot Plantsize" sheetId="14" r:id="rId1"/>
    <sheet name="Pivot Plant location" sheetId="16" r:id="rId2"/>
    <sheet name="Pivot 10 Brand name" sheetId="17" r:id="rId3"/>
    <sheet name="Pivot Nonreturn" sheetId="18" r:id="rId4"/>
    <sheet name="Pivot Plantype" sheetId="19" r:id="rId5"/>
    <sheet name="DATA" sheetId="2" r:id="rId6"/>
    <sheet name="Special Price Box n Whiske " sheetId="4" r:id="rId7"/>
    <sheet name="Rating Histo" sheetId="3" r:id="rId8"/>
    <sheet name="Special discount Scatter" sheetId="5" r:id="rId9"/>
    <sheet name="Plant OriginalPrice vs SpecialP" sheetId="9" r:id="rId10"/>
    <sheet name="Pivot Product specialprice" sheetId="11" r:id="rId11"/>
    <sheet name="Dashboard" sheetId="20" r:id="rId12"/>
  </sheets>
  <definedNames>
    <definedName name="_xlnm._FilterDatabase" localSheetId="5" hidden="1">DATA!$A$1:$Z$441</definedName>
    <definedName name="_xlchart.v1.0" hidden="1">'Special Price Box n Whiske '!$B$2:$B$441</definedName>
    <definedName name="_xlchart.v1.1" hidden="1">'Rating Histo'!$B$2:$B$442</definedName>
    <definedName name="Slicer_Plant_Name">#N/A</definedName>
    <definedName name="Slicer_TYPE">#N/A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8" i="2" l="1"/>
  <c r="P7" i="2"/>
  <c r="P6" i="2"/>
  <c r="P4" i="2"/>
  <c r="P3" i="2"/>
  <c r="P2" i="2"/>
  <c r="X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alcChain>
</file>

<file path=xl/sharedStrings.xml><?xml version="1.0" encoding="utf-8"?>
<sst xmlns="http://schemas.openxmlformats.org/spreadsheetml/2006/main" count="4955" uniqueCount="950">
  <si>
    <t>web-scraper-order</t>
  </si>
  <si>
    <t>NAME</t>
  </si>
  <si>
    <t>ORIGINAL PRICE</t>
  </si>
  <si>
    <t>SPECIAL PRICE</t>
  </si>
  <si>
    <t>DISCOUNT</t>
  </si>
  <si>
    <t>RATING</t>
  </si>
  <si>
    <t>PLANT SIZE</t>
  </si>
  <si>
    <t>TYPE</t>
  </si>
  <si>
    <t>LOCATION</t>
  </si>
  <si>
    <t>BRAND NAME</t>
  </si>
  <si>
    <t>RETURN</t>
  </si>
  <si>
    <t>1754309573-1</t>
  </si>
  <si>
    <t>Oxygreenplant Areca Palm</t>
  </si>
  <si>
    <t>Medium</t>
  </si>
  <si>
    <t>Type: Bonsai</t>
  </si>
  <si>
    <t>OXYGREENPLANT</t>
  </si>
  <si>
    <t>1754309576-2</t>
  </si>
  <si>
    <t>Bijaya Online Store Areca Palm</t>
  </si>
  <si>
    <t>Small</t>
  </si>
  <si>
    <t>NELSONnurseryPLANT</t>
  </si>
  <si>
    <t>1754309578-3</t>
  </si>
  <si>
    <t>UGAOO Variegated Money Plant</t>
  </si>
  <si>
    <t>Type: Shrub</t>
  </si>
  <si>
    <t>UGAOO</t>
  </si>
  <si>
    <t>1754309581-4</t>
  </si>
  <si>
    <t>UGAOO Golden Money Plant</t>
  </si>
  <si>
    <t>1754309584-5</t>
  </si>
  <si>
    <t>PLANTTOOZS Clove Plant</t>
  </si>
  <si>
    <t>Type: Herb</t>
  </si>
  <si>
    <t>AlaiStore</t>
  </si>
  <si>
    <t>1754309586-6</t>
  </si>
  <si>
    <t>K,M.GREEN Areca Palm</t>
  </si>
  <si>
    <t>MeeraTaders</t>
  </si>
  <si>
    <t>1754309589-7</t>
  </si>
  <si>
    <t>ABEFARIYA ZZ Plant</t>
  </si>
  <si>
    <t>ABEFARIYA</t>
  </si>
  <si>
    <t>1754309591-8</t>
  </si>
  <si>
    <t>EliteGreen Clove Plant</t>
  </si>
  <si>
    <t>1754309594-9</t>
  </si>
  <si>
    <t>1754309596-10</t>
  </si>
  <si>
    <t>UGAOO Jade Plant</t>
  </si>
  <si>
    <t>Type: Succulent</t>
  </si>
  <si>
    <t>1754309599-11</t>
  </si>
  <si>
    <t>Cloud Farm Dracaena Plant</t>
  </si>
  <si>
    <t>GreenyOn</t>
  </si>
  <si>
    <t>1754309601-12</t>
  </si>
  <si>
    <t>ABEFARIYA Areca Palm</t>
  </si>
  <si>
    <t>Type: Air purifier plant</t>
  </si>
  <si>
    <t>1754309604-13</t>
  </si>
  <si>
    <t>1754309606-14</t>
  </si>
  <si>
    <t>UGAOO Njoy Money Plant</t>
  </si>
  <si>
    <t>Type: Foliage</t>
  </si>
  <si>
    <t>1754309609-15</t>
  </si>
  <si>
    <t>SAPLINGO</t>
  </si>
  <si>
    <t>1754309611-16</t>
  </si>
  <si>
    <t>Mohomaya Areca Palm</t>
  </si>
  <si>
    <t>Type: Bamboo</t>
  </si>
  <si>
    <t>MOHOMAYA</t>
  </si>
  <si>
    <t>1754309614-17</t>
  </si>
  <si>
    <t>Cloud Farm Clove Plant</t>
  </si>
  <si>
    <t>1754309616-18</t>
  </si>
  <si>
    <t>ALG Clove Plant</t>
  </si>
  <si>
    <t>1754309619-19</t>
  </si>
  <si>
    <t>1754309621-20</t>
  </si>
  <si>
    <t>1754309624-21</t>
  </si>
  <si>
    <t>Oxygreenplant Clove Plant</t>
  </si>
  <si>
    <t>1754309626-22</t>
  </si>
  <si>
    <t>Cloud Farm Baugainvillea Plant</t>
  </si>
  <si>
    <t>Type: Fruit</t>
  </si>
  <si>
    <t>1754309629-23</t>
  </si>
  <si>
    <t>1754309631-24</t>
  </si>
  <si>
    <t>1754309634-25</t>
  </si>
  <si>
    <t>SKYTCOM</t>
  </si>
  <si>
    <t>1754309636-26</t>
  </si>
  <si>
    <t>ABEFARIYA Clove Plant</t>
  </si>
  <si>
    <t>1754309638-27</t>
  </si>
  <si>
    <t>Storynursery</t>
  </si>
  <si>
    <t>1754309641-28</t>
  </si>
  <si>
    <t>AloGardening Rubber Tree</t>
  </si>
  <si>
    <t>RoyANDRoyTraders</t>
  </si>
  <si>
    <t>1754309643-29</t>
  </si>
  <si>
    <t>1754309646-30</t>
  </si>
  <si>
    <t>1754309648-31</t>
  </si>
  <si>
    <t>areca palm Areca Palm</t>
  </si>
  <si>
    <t>CuteLittleTrees</t>
  </si>
  <si>
    <t>1754309651-32</t>
  </si>
  <si>
    <t>1754309653-33</t>
  </si>
  <si>
    <t>1754309656-34</t>
  </si>
  <si>
    <t>1754309658-35</t>
  </si>
  <si>
    <t>PSGARDEN</t>
  </si>
  <si>
    <t>1754309661-36</t>
  </si>
  <si>
    <t>GreenyOn Clove Plant</t>
  </si>
  <si>
    <t>Hadiqa</t>
  </si>
  <si>
    <t>1754309663-37</t>
  </si>
  <si>
    <t>GreensFord ZZ Plant</t>
  </si>
  <si>
    <t>Roofgardens</t>
  </si>
  <si>
    <t>1754309666-38</t>
  </si>
  <si>
    <t>Globalplants Areca Palm</t>
  </si>
  <si>
    <t>ALOCHUZ</t>
  </si>
  <si>
    <t>1754309668-39</t>
  </si>
  <si>
    <t>1754309671-40</t>
  </si>
  <si>
    <t>1754309676-41</t>
  </si>
  <si>
    <t>Cloud Farm Pistachio Plant</t>
  </si>
  <si>
    <t>1754309678-42</t>
  </si>
  <si>
    <t>UGAOO Jade Plant, Variegated Money Plant, Golden Money ...</t>
  </si>
  <si>
    <t>1754309681-43</t>
  </si>
  <si>
    <t>1754309684-44</t>
  </si>
  <si>
    <t>1754309686-45</t>
  </si>
  <si>
    <t>Oxygreenplant Anthurium Plant</t>
  </si>
  <si>
    <t>1754309689-46</t>
  </si>
  <si>
    <t>sspykrts Ficus Bonsai</t>
  </si>
  <si>
    <t>AYUSHGREENNURSERY</t>
  </si>
  <si>
    <t>1754309691-47</t>
  </si>
  <si>
    <t>UGAOO Areca Palm</t>
  </si>
  <si>
    <t>1754309694-48</t>
  </si>
  <si>
    <t>TheEntacloo</t>
  </si>
  <si>
    <t>1754309696-49</t>
  </si>
  <si>
    <t>1754309699-50</t>
  </si>
  <si>
    <t>1754309701-51</t>
  </si>
  <si>
    <t>ABEFARIYA Areca Palm, Areca Palm</t>
  </si>
  <si>
    <t>1754309704-52</t>
  </si>
  <si>
    <t>CloudFarming</t>
  </si>
  <si>
    <t>1754309706-53</t>
  </si>
  <si>
    <t>1754309709-54</t>
  </si>
  <si>
    <t>1754309711-55</t>
  </si>
  <si>
    <t>1754309713-56</t>
  </si>
  <si>
    <t>FSK Clove Plant</t>
  </si>
  <si>
    <t>1754309716-57</t>
  </si>
  <si>
    <t>Cloud Farm ZZ Plant</t>
  </si>
  <si>
    <t>1754309719-58</t>
  </si>
  <si>
    <t>PB REBA PLANT Areca Plam</t>
  </si>
  <si>
    <t>UkandaGaarden</t>
  </si>
  <si>
    <t>1754309721-59</t>
  </si>
  <si>
    <t>1754309724-60</t>
  </si>
  <si>
    <t>1754309726-61</t>
  </si>
  <si>
    <t>Oxygreenplant ZZ Plant</t>
  </si>
  <si>
    <t>1754309729-62</t>
  </si>
  <si>
    <t>MALLICKENTERPRISES0</t>
  </si>
  <si>
    <t>1754309731-63</t>
  </si>
  <si>
    <t>1754309734-64</t>
  </si>
  <si>
    <t>1754309736-65</t>
  </si>
  <si>
    <t>LituGarden</t>
  </si>
  <si>
    <t>1754309739-66</t>
  </si>
  <si>
    <t>NDS Areca Palm</t>
  </si>
  <si>
    <t>RIMARDMISTU</t>
  </si>
  <si>
    <t>1754309741-67</t>
  </si>
  <si>
    <t>1754309743-68</t>
  </si>
  <si>
    <t>FasonGreen Areca Palm</t>
  </si>
  <si>
    <t>1754309746-69</t>
  </si>
  <si>
    <t>1754309748-70</t>
  </si>
  <si>
    <t>1754309751-71</t>
  </si>
  <si>
    <t>PLANTTOOZS China Palm Plant</t>
  </si>
  <si>
    <t>Twinkleplanting</t>
  </si>
  <si>
    <t>1754309753-72</t>
  </si>
  <si>
    <t>pb mandira plant Areca Palm</t>
  </si>
  <si>
    <t>PBMANDIRAPLANT</t>
  </si>
  <si>
    <t>1754309756-73</t>
  </si>
  <si>
    <t>1754309758-74</t>
  </si>
  <si>
    <t>1754309761-75</t>
  </si>
  <si>
    <t>1754309763-76</t>
  </si>
  <si>
    <t>AloGardening Areca Palm</t>
  </si>
  <si>
    <t>1754309766-77</t>
  </si>
  <si>
    <t>ABC Areca Palm</t>
  </si>
  <si>
    <t>NarumanamGarden</t>
  </si>
  <si>
    <t>1754309768-78</t>
  </si>
  <si>
    <t>1754309771-79</t>
  </si>
  <si>
    <t>1754309773-80</t>
  </si>
  <si>
    <t>1754309779-81</t>
  </si>
  <si>
    <t>Darjeeling Planters Jackfruit Plant</t>
  </si>
  <si>
    <t>Barhloew</t>
  </si>
  <si>
    <t>1754309782-82</t>
  </si>
  <si>
    <t>KPL BERRY PLANT Blackberry Lily Plant</t>
  </si>
  <si>
    <t>GREENOFGREEN</t>
  </si>
  <si>
    <t>1754309784-83</t>
  </si>
  <si>
    <t>1754309787-84</t>
  </si>
  <si>
    <t>1754309790-85</t>
  </si>
  <si>
    <t>MAHAMAYA A TO Z Tuberose/Rajnigandha Plant</t>
  </si>
  <si>
    <t>Type: Flower</t>
  </si>
  <si>
    <t>1754309792-86</t>
  </si>
  <si>
    <t>KPL SWEET BASIL Sweet Basil Plant</t>
  </si>
  <si>
    <t>Type: Tree</t>
  </si>
  <si>
    <t>1754309795-87</t>
  </si>
  <si>
    <t>greenhousestore Portulaca Plant</t>
  </si>
  <si>
    <t>Antraskh</t>
  </si>
  <si>
    <t>1754309798-88</t>
  </si>
  <si>
    <t>Mohomaya Custard Apple Plant</t>
  </si>
  <si>
    <t>1754309801-89</t>
  </si>
  <si>
    <t>1754309803-90</t>
  </si>
  <si>
    <t>1754309806-91</t>
  </si>
  <si>
    <t>Samarthgreens Apple Plant</t>
  </si>
  <si>
    <t>1754309808-92</t>
  </si>
  <si>
    <t>e generix Betel Nut/Supari Plant</t>
  </si>
  <si>
    <t>THEGREENDOTCOM</t>
  </si>
  <si>
    <t>1754309811-93</t>
  </si>
  <si>
    <t>1754309813-94</t>
  </si>
  <si>
    <t>1754309816-95</t>
  </si>
  <si>
    <t>CHILLATAI Lily Plant</t>
  </si>
  <si>
    <t>CHILLATAI</t>
  </si>
  <si>
    <t>1754309818-96</t>
  </si>
  <si>
    <t>GULMOHAR Royal Poinciana Plant</t>
  </si>
  <si>
    <t>1754309821-97</t>
  </si>
  <si>
    <t>Cloud Farm Dragon Tree</t>
  </si>
  <si>
    <t>1754309824-98</t>
  </si>
  <si>
    <t>Aquinnah Chiku Plant</t>
  </si>
  <si>
    <t>OxygenCart</t>
  </si>
  <si>
    <t>1754309826-99</t>
  </si>
  <si>
    <t>1754309829-100</t>
  </si>
  <si>
    <t>1754309831-101</t>
  </si>
  <si>
    <t>Cloud Farm Jackfruit Plant</t>
  </si>
  <si>
    <t>1754309833-102</t>
  </si>
  <si>
    <t>HERBALISM Jaboticaba Plant</t>
  </si>
  <si>
    <t>1754309836-103</t>
  </si>
  <si>
    <t>1754309839-104</t>
  </si>
  <si>
    <t>1754309841-105</t>
  </si>
  <si>
    <t>langda mango Mango Plant</t>
  </si>
  <si>
    <t>RUFLEF</t>
  </si>
  <si>
    <t>1754309844-106</t>
  </si>
  <si>
    <t>Tha live root hanging jelly Indian Snakeroot Plant</t>
  </si>
  <si>
    <t>shrienterprises01</t>
  </si>
  <si>
    <t>1754309846-107</t>
  </si>
  <si>
    <t>Oxygreenplant Tabebuia rosea</t>
  </si>
  <si>
    <t>Matanga</t>
  </si>
  <si>
    <t>1754309849-108</t>
  </si>
  <si>
    <t>Aquinnah Kiwi Plant</t>
  </si>
  <si>
    <t>1754309852-109</t>
  </si>
  <si>
    <t>1754309854-110</t>
  </si>
  <si>
    <t>1754309857-111</t>
  </si>
  <si>
    <t>Cloud Farm Rosemary Plant</t>
  </si>
  <si>
    <t>1754309859-112</t>
  </si>
  <si>
    <t>LaughEarth Lemon Plant</t>
  </si>
  <si>
    <t>AFARTIOBINA</t>
  </si>
  <si>
    <t>1754309861-113</t>
  </si>
  <si>
    <t>1754309864-114</t>
  </si>
  <si>
    <t>1754309866-115</t>
  </si>
  <si>
    <t>Jiffy Plants Curtain Creeper Plant</t>
  </si>
  <si>
    <t>Type: Creepers and Climbers</t>
  </si>
  <si>
    <t>JiffyPlants</t>
  </si>
  <si>
    <t>1754309869-116</t>
  </si>
  <si>
    <t>BDSresolve Sarpagandha Plant</t>
  </si>
  <si>
    <t>NATURESNURSERYY</t>
  </si>
  <si>
    <t>1754309872-117</t>
  </si>
  <si>
    <t>RudraECOM Cherry Fruit Plant</t>
  </si>
  <si>
    <t>1754309874-118</t>
  </si>
  <si>
    <t>Greensolution Jade Plant</t>
  </si>
  <si>
    <t>SaplingTales</t>
  </si>
  <si>
    <t>1754309877-119</t>
  </si>
  <si>
    <t>1754309879-120</t>
  </si>
  <si>
    <t>1754309884-121</t>
  </si>
  <si>
    <t>Biswas Bloom Rose Plant, Rose Apple Plant</t>
  </si>
  <si>
    <t>Large</t>
  </si>
  <si>
    <t>BREEZYBLOOM</t>
  </si>
  <si>
    <t>1754309887-122</t>
  </si>
  <si>
    <t>FSK Kiwi Plant</t>
  </si>
  <si>
    <t>CultivaEnterprise</t>
  </si>
  <si>
    <t>1754309889-123</t>
  </si>
  <si>
    <t>1754309892-124</t>
  </si>
  <si>
    <t>1754309894-125</t>
  </si>
  <si>
    <t>Risenshine Curry Leaf Plant</t>
  </si>
  <si>
    <t>1754309897-126</t>
  </si>
  <si>
    <t>1754309899-127</t>
  </si>
  <si>
    <t>LATOSTAZAS Litchi Plant</t>
  </si>
  <si>
    <t>NALQUITS</t>
  </si>
  <si>
    <t>1754309902-128</t>
  </si>
  <si>
    <t>Gopikananda Berry Plant</t>
  </si>
  <si>
    <t>1754309905-129</t>
  </si>
  <si>
    <t>1754309907-130</t>
  </si>
  <si>
    <t>1754309910-131</t>
  </si>
  <si>
    <t>Ebainz Brazilian Wood</t>
  </si>
  <si>
    <t>1754309912-132</t>
  </si>
  <si>
    <t>EarthAngel Bougainvillea Plant</t>
  </si>
  <si>
    <t>1754309915-133</t>
  </si>
  <si>
    <t>1754309926-134</t>
  </si>
  <si>
    <t>1754309939-135</t>
  </si>
  <si>
    <t>Global Mart Plant Indian Snakeroot Plant</t>
  </si>
  <si>
    <t>Digitalgreenpar</t>
  </si>
  <si>
    <t>1754309942-136</t>
  </si>
  <si>
    <t>greenhousestore Golden Champa Plant</t>
  </si>
  <si>
    <t>1754309944-137</t>
  </si>
  <si>
    <t>Heaven Of Saplings Apple Plant</t>
  </si>
  <si>
    <t>1754309947-138</t>
  </si>
  <si>
    <t>Samarthgreens Banana Plant</t>
  </si>
  <si>
    <t>1754309949-139</t>
  </si>
  <si>
    <t>1754309952-140</t>
  </si>
  <si>
    <t>1754309954-141</t>
  </si>
  <si>
    <t>Cloud Farm Pomegranate Plant</t>
  </si>
  <si>
    <t>1754309957-142</t>
  </si>
  <si>
    <t>Cloud Farm Walnut Plant</t>
  </si>
  <si>
    <t>1754309960-143</t>
  </si>
  <si>
    <t>1754309962-144</t>
  </si>
  <si>
    <t>1754309964-145</t>
  </si>
  <si>
    <t>DOOR TO GARDEN Bay Leaf Plant</t>
  </si>
  <si>
    <t>GARDEN CARE</t>
  </si>
  <si>
    <t>1754309967-146</t>
  </si>
  <si>
    <t>PlantNature Guava Plant</t>
  </si>
  <si>
    <t>1754309969-147</t>
  </si>
  <si>
    <t>amloki Amla Plant</t>
  </si>
  <si>
    <t>1754309972-148</t>
  </si>
  <si>
    <t>suvo nursary Duranta Plant</t>
  </si>
  <si>
    <t>MINATITRADERS</t>
  </si>
  <si>
    <t>1754309975-149</t>
  </si>
  <si>
    <t>1754309977-150</t>
  </si>
  <si>
    <t>1754309980-151</t>
  </si>
  <si>
    <t>ABEFARIYA Bougainvillea Plant</t>
  </si>
  <si>
    <t>HORTILIFE</t>
  </si>
  <si>
    <t>1754309982-152</t>
  </si>
  <si>
    <t>LATOSTAZAS Lemon Plant</t>
  </si>
  <si>
    <t>1754309985-153</t>
  </si>
  <si>
    <t>1754309987-154</t>
  </si>
  <si>
    <t>1754309990-155</t>
  </si>
  <si>
    <t>Aquinnah Areca Palm</t>
  </si>
  <si>
    <t>1754309992-156</t>
  </si>
  <si>
    <t>Aquinnah Graden Bella Palm Plant</t>
  </si>
  <si>
    <t>Homegraden</t>
  </si>
  <si>
    <t>1754309995-157</t>
  </si>
  <si>
    <t>greenhousestore Crassula Plant</t>
  </si>
  <si>
    <t>PBEVERGREEN</t>
  </si>
  <si>
    <t>1754309999-158</t>
  </si>
  <si>
    <t>greenhousestore Bel Plant</t>
  </si>
  <si>
    <t>1754310002-159</t>
  </si>
  <si>
    <t>1754310004-160</t>
  </si>
  <si>
    <t>1754310010-161</t>
  </si>
  <si>
    <t>Ukanda Litchi Plant</t>
  </si>
  <si>
    <t>1754310012-162</t>
  </si>
  <si>
    <t>greengrow Baleria Plant</t>
  </si>
  <si>
    <t>1754310015-163</t>
  </si>
  <si>
    <t>1754310017-164</t>
  </si>
  <si>
    <t>1754310020-165</t>
  </si>
  <si>
    <t>Cloud Farm Almond Plant</t>
  </si>
  <si>
    <t>1754310022-166</t>
  </si>
  <si>
    <t>DAIVISH Guava Plant</t>
  </si>
  <si>
    <t>DaivishNursery</t>
  </si>
  <si>
    <t>1754310025-167</t>
  </si>
  <si>
    <t>Samarthgreens Shami/Jand Plant</t>
  </si>
  <si>
    <t>1754310028-168</t>
  </si>
  <si>
    <t>AquinnahGaden Dragon Tree</t>
  </si>
  <si>
    <t>1754310030-169</t>
  </si>
  <si>
    <t>1754310033-170</t>
  </si>
  <si>
    <t>1754310036-171</t>
  </si>
  <si>
    <t>FSK Betel Nut/Supari Plant</t>
  </si>
  <si>
    <t>1754310047-172</t>
  </si>
  <si>
    <t>Ayansh Plants Sudarshan Medicinal Plant (Pack of 1, Her...</t>
  </si>
  <si>
    <t>1754310051-173</t>
  </si>
  <si>
    <t>1754310054-174</t>
  </si>
  <si>
    <t>1754310056-175</t>
  </si>
  <si>
    <t>AAM Mango Plant</t>
  </si>
  <si>
    <t>1754310059-176</t>
  </si>
  <si>
    <t>Global Mart Plant Insulin Plant</t>
  </si>
  <si>
    <t>1754310061-177</t>
  </si>
  <si>
    <t>DEBNATH Brahma Kamal Plant</t>
  </si>
  <si>
    <t>1754310064-178</t>
  </si>
  <si>
    <t>PLANTTOOZS Shami/Jand Plant</t>
  </si>
  <si>
    <t>1754310066-179</t>
  </si>
  <si>
    <t>1754310069-180</t>
  </si>
  <si>
    <t>1754310071-181</t>
  </si>
  <si>
    <t>Cloud Farm Ashok Plant</t>
  </si>
  <si>
    <t>1754310074-182</t>
  </si>
  <si>
    <t>Global Mart Plant Mini Brazalian wood</t>
  </si>
  <si>
    <t>1754310078-183</t>
  </si>
  <si>
    <t>1754310081-184</t>
  </si>
  <si>
    <t>1754310086-185</t>
  </si>
  <si>
    <t>UGAOO Aralia Plant</t>
  </si>
  <si>
    <t>1754310089-186</t>
  </si>
  <si>
    <t>PLANTTOOZS Red Sandalwood Plant</t>
  </si>
  <si>
    <t>1754310094-187</t>
  </si>
  <si>
    <t>Unisam Bel patra plant Pot Bel Plant</t>
  </si>
  <si>
    <t>Greentropical</t>
  </si>
  <si>
    <t>1754310097-188</t>
  </si>
  <si>
    <t>PLANTTOOZS Apple Plant</t>
  </si>
  <si>
    <t>Tukitu</t>
  </si>
  <si>
    <t>1754310101-189</t>
  </si>
  <si>
    <t>1754310105-190</t>
  </si>
  <si>
    <t>1754310109-191</t>
  </si>
  <si>
    <t>MAITRA AND SONS Betel Nut/Supari Plant</t>
  </si>
  <si>
    <t>1754310116-192</t>
  </si>
  <si>
    <t>Barhloew Rasna Plant</t>
  </si>
  <si>
    <t>1754310119-193</t>
  </si>
  <si>
    <t>1754310122-194</t>
  </si>
  <si>
    <t>1754310125-195</t>
  </si>
  <si>
    <t>MAITRA AND SONS Avocado Plant</t>
  </si>
  <si>
    <t>1754310129-196</t>
  </si>
  <si>
    <t>Plant Paradise Rudraksha Plant</t>
  </si>
  <si>
    <t>1754310134-197</t>
  </si>
  <si>
    <t>FarmStorey Echeveria Plant, Sedum Plant</t>
  </si>
  <si>
    <t>FarmStorey</t>
  </si>
  <si>
    <t>1754310140-198</t>
  </si>
  <si>
    <t>MAITRA AND SONS Peace Lily Plant</t>
  </si>
  <si>
    <t>MAITRAANDSONS</t>
  </si>
  <si>
    <t>1754310142-199</t>
  </si>
  <si>
    <t>1754310147-200</t>
  </si>
  <si>
    <t>1754310154-201</t>
  </si>
  <si>
    <t>LaughEarth Custard Apple Plant</t>
  </si>
  <si>
    <t>1754310157-202</t>
  </si>
  <si>
    <t>RUKDA Aloe Vera Plant</t>
  </si>
  <si>
    <t>1754310159-203</t>
  </si>
  <si>
    <t>1754310163-204</t>
  </si>
  <si>
    <t>1754310165-205</t>
  </si>
  <si>
    <t>Mohomaya Mango Plant</t>
  </si>
  <si>
    <t>1754310168-206</t>
  </si>
  <si>
    <t>Cloud Farm Pear Plant</t>
  </si>
  <si>
    <t>1754310170-207</t>
  </si>
  <si>
    <t>AloGardening Mango Plant</t>
  </si>
  <si>
    <t>1754310173-208</t>
  </si>
  <si>
    <t>MondallNursery Oxalis</t>
  </si>
  <si>
    <t>1754310175-209</t>
  </si>
  <si>
    <t>1754310178-210</t>
  </si>
  <si>
    <t>1754310180-211</t>
  </si>
  <si>
    <t>SRDEWAN</t>
  </si>
  <si>
    <t>1754310183-212</t>
  </si>
  <si>
    <t>Oxygreenplant Shahtoot/Mulberry Plant</t>
  </si>
  <si>
    <t>1754310185-213</t>
  </si>
  <si>
    <t>1754310188-214</t>
  </si>
  <si>
    <t>1754310190-215</t>
  </si>
  <si>
    <t>Click to purchase Madhu Kamini Plant</t>
  </si>
  <si>
    <t>1754310193-216</t>
  </si>
  <si>
    <t>Aquinnah Black Pepper Plant</t>
  </si>
  <si>
    <t>1754310195-217</t>
  </si>
  <si>
    <t>Krishna all time mango plant Mango Plant</t>
  </si>
  <si>
    <t>1754310198-218</t>
  </si>
  <si>
    <t>Gabbro Crasulla Ovata Plant</t>
  </si>
  <si>
    <t>Gabbro</t>
  </si>
  <si>
    <t>1754310200-219</t>
  </si>
  <si>
    <t>1754310203-220</t>
  </si>
  <si>
    <t>1754310205-221</t>
  </si>
  <si>
    <t>Mohomaya Hibiscus Plant</t>
  </si>
  <si>
    <t>GLOBQRO</t>
  </si>
  <si>
    <t>1754310208-222</t>
  </si>
  <si>
    <t>greenhousestore Coconut Plant</t>
  </si>
  <si>
    <t>1754310210-223</t>
  </si>
  <si>
    <t>1754310213-224</t>
  </si>
  <si>
    <t>1754310215-225</t>
  </si>
  <si>
    <t>Aquinnah Nutmeg Plant</t>
  </si>
  <si>
    <t>Agacha</t>
  </si>
  <si>
    <t>1754310219-226</t>
  </si>
  <si>
    <t>Greenium Aglaonema Plant</t>
  </si>
  <si>
    <t>Greenium</t>
  </si>
  <si>
    <t>1754310222-227</t>
  </si>
  <si>
    <t>greenhousestore Cashew Apple Plant</t>
  </si>
  <si>
    <t>1754310224-228</t>
  </si>
  <si>
    <t>pomgardening Apple Plant</t>
  </si>
  <si>
    <t>Sarkarplantenterprise</t>
  </si>
  <si>
    <t>1754310227-229</t>
  </si>
  <si>
    <t>1754310229-230</t>
  </si>
  <si>
    <t>1754310232-231</t>
  </si>
  <si>
    <t>Agroholic Traders Money Plant</t>
  </si>
  <si>
    <t>MAQINPLANTHOUSE</t>
  </si>
  <si>
    <t>1754310234-232</t>
  </si>
  <si>
    <t>HYBRID Jambu Bira Plant, Kak Jam Plant, Jamun Plant, Wh...</t>
  </si>
  <si>
    <t>1754310237-233</t>
  </si>
  <si>
    <t>1754310239-234</t>
  </si>
  <si>
    <t>1754310242-235</t>
  </si>
  <si>
    <t>GreenHavenn Mahogany Plant</t>
  </si>
  <si>
    <t>1754310244-236</t>
  </si>
  <si>
    <t>1754310247-237</t>
  </si>
  <si>
    <t>UGAOO Snake Plant</t>
  </si>
  <si>
    <t>1754310251-238</t>
  </si>
  <si>
    <t>PEEPALSFARM Betel Leaf Plant</t>
  </si>
  <si>
    <t>1754310253-239</t>
  </si>
  <si>
    <t>1754310256-240</t>
  </si>
  <si>
    <t>1754310261-241</t>
  </si>
  <si>
    <t>1754310263-242</t>
  </si>
  <si>
    <t>1754310266-243</t>
  </si>
  <si>
    <t>1754310268-244</t>
  </si>
  <si>
    <t>1754310271-245</t>
  </si>
  <si>
    <t>Cloud Farm Jade Plant</t>
  </si>
  <si>
    <t>1754310274-246</t>
  </si>
  <si>
    <t>MiracleGardenn</t>
  </si>
  <si>
    <t>1754310276-247</t>
  </si>
  <si>
    <t>1754310278-248</t>
  </si>
  <si>
    <t>1754310282-249</t>
  </si>
  <si>
    <t>1754310284-250</t>
  </si>
  <si>
    <t>1754310287-251</t>
  </si>
  <si>
    <t>PLANTTOOZS</t>
  </si>
  <si>
    <t>1754310290-252</t>
  </si>
  <si>
    <t>GreenyOn ZZ Plant</t>
  </si>
  <si>
    <t>EarthAngel</t>
  </si>
  <si>
    <t>1754310292-253</t>
  </si>
  <si>
    <t>1754310295-254</t>
  </si>
  <si>
    <t>1754310297-255</t>
  </si>
  <si>
    <t>Augadh Orange Plant</t>
  </si>
  <si>
    <t>1754310300-256</t>
  </si>
  <si>
    <t>My Dream Nursery Syngonium Plant</t>
  </si>
  <si>
    <t>1754310303-257</t>
  </si>
  <si>
    <t>1754310305-258</t>
  </si>
  <si>
    <t>1754310308-259</t>
  </si>
  <si>
    <t>1754310311-260</t>
  </si>
  <si>
    <t>1754310313-261</t>
  </si>
  <si>
    <t>1754310315-262</t>
  </si>
  <si>
    <t>1754310318-263</t>
  </si>
  <si>
    <t>1754310320-264</t>
  </si>
  <si>
    <t>1754310323-265</t>
  </si>
  <si>
    <t>UGAOO Two Layer Bamboo Plant</t>
  </si>
  <si>
    <t>1754310326-266</t>
  </si>
  <si>
    <t>Oaul Store Areca Plam</t>
  </si>
  <si>
    <t>NirmalNursery</t>
  </si>
  <si>
    <t>1754310328-267</t>
  </si>
  <si>
    <t>MATARANURSERY Agarwood Plant</t>
  </si>
  <si>
    <t>1754310331-268</t>
  </si>
  <si>
    <t>Flipkart SmartBuy Two Layer Bamboo Plant</t>
  </si>
  <si>
    <t>AGAMI</t>
  </si>
  <si>
    <t>1754310334-269</t>
  </si>
  <si>
    <t>1754310336-270</t>
  </si>
  <si>
    <t>1754310339-271</t>
  </si>
  <si>
    <t>Cloud Farm Platycladus/Morpankhi Plant</t>
  </si>
  <si>
    <t>1754310342-272</t>
  </si>
  <si>
    <t>DRACENAPLANT RAJDHANINURSERY Dracaena Plant</t>
  </si>
  <si>
    <t>1754310344-273</t>
  </si>
  <si>
    <t>1754310347-274</t>
  </si>
  <si>
    <t>1754310349-275</t>
  </si>
  <si>
    <t>Decorate The World Areca Palm</t>
  </si>
  <si>
    <t>1754310352-276</t>
  </si>
  <si>
    <t>1754310354-277</t>
  </si>
  <si>
    <t>Exotica HRMN Grafted Apple Plant</t>
  </si>
  <si>
    <t>1754310357-278</t>
  </si>
  <si>
    <t>Cloud Farm Apple Plant</t>
  </si>
  <si>
    <t>1754310360-279</t>
  </si>
  <si>
    <t>1754310362-280</t>
  </si>
  <si>
    <t>1754310368-281</t>
  </si>
  <si>
    <t>Risenshine ZZ Plant</t>
  </si>
  <si>
    <t>AredalosGarden</t>
  </si>
  <si>
    <t>1754310370-282</t>
  </si>
  <si>
    <t>1754310373-283</t>
  </si>
  <si>
    <t>APOSOLUARD Baugainvillea Plant</t>
  </si>
  <si>
    <t>APOSOLUARD</t>
  </si>
  <si>
    <t>1754310375-284</t>
  </si>
  <si>
    <t>1754310378-285</t>
  </si>
  <si>
    <t>1754310380-286</t>
  </si>
  <si>
    <t>UGAOO Three Layer Bamboo Plant</t>
  </si>
  <si>
    <t>1754310383-287</t>
  </si>
  <si>
    <t>Cloud Farm Grapes Plant</t>
  </si>
  <si>
    <t>1754310386-288</t>
  </si>
  <si>
    <t>Cloud Farm Orange Plant</t>
  </si>
  <si>
    <t>1754310388-289</t>
  </si>
  <si>
    <t>1754310391-290</t>
  </si>
  <si>
    <t>1754310393-291</t>
  </si>
  <si>
    <t>Aquinnah ZZ Plant</t>
  </si>
  <si>
    <t>1754310396-292</t>
  </si>
  <si>
    <t>Cloud Farm Guava Plant</t>
  </si>
  <si>
    <t>1754310398-293</t>
  </si>
  <si>
    <t>1754310401-294</t>
  </si>
  <si>
    <t>1754310403-295</t>
  </si>
  <si>
    <t>1754310406-296</t>
  </si>
  <si>
    <t>Cloud Farm Hibiscus Plant</t>
  </si>
  <si>
    <t>1754310408-297</t>
  </si>
  <si>
    <t>Cloud Farm Strawberry Plant</t>
  </si>
  <si>
    <t>1754310411-298</t>
  </si>
  <si>
    <t>LivePlant Syngonium Plant</t>
  </si>
  <si>
    <t>1754310413-299</t>
  </si>
  <si>
    <t>1754310416-300</t>
  </si>
  <si>
    <t>1754310418-301</t>
  </si>
  <si>
    <t>1754310421-302</t>
  </si>
  <si>
    <t>1754310424-303</t>
  </si>
  <si>
    <t>1754310426-304</t>
  </si>
  <si>
    <t>1754310429-305</t>
  </si>
  <si>
    <t>1754310431-306</t>
  </si>
  <si>
    <t>1754310434-307</t>
  </si>
  <si>
    <t>Cloud Farm Parijat/Harsingar Plant</t>
  </si>
  <si>
    <t>1754310436-308</t>
  </si>
  <si>
    <t>1754310439-309</t>
  </si>
  <si>
    <t>1754310442-310</t>
  </si>
  <si>
    <t>1754310444-311</t>
  </si>
  <si>
    <t>1754310447-312</t>
  </si>
  <si>
    <t>1754310449-313</t>
  </si>
  <si>
    <t>1754310452-314</t>
  </si>
  <si>
    <t>1754310454-315</t>
  </si>
  <si>
    <t>1754310457-316</t>
  </si>
  <si>
    <t>1754310459-317</t>
  </si>
  <si>
    <t>1754310462-318</t>
  </si>
  <si>
    <t>1754310464-319</t>
  </si>
  <si>
    <t>1754310467-320</t>
  </si>
  <si>
    <t>1754310473-321</t>
  </si>
  <si>
    <t>1754310475-322</t>
  </si>
  <si>
    <t>1754310478-323</t>
  </si>
  <si>
    <t>GLOBQRO Grape Plant</t>
  </si>
  <si>
    <t>1754310480-324</t>
  </si>
  <si>
    <t>1754310483-325</t>
  </si>
  <si>
    <t>AloGardening Shahtoot/Mulberry Plant</t>
  </si>
  <si>
    <t>1754310485-326</t>
  </si>
  <si>
    <t>1754310488-327</t>
  </si>
  <si>
    <t>1754310491-328</t>
  </si>
  <si>
    <t>1754310493-329</t>
  </si>
  <si>
    <t>1754310496-330</t>
  </si>
  <si>
    <t>1754310498-331</t>
  </si>
  <si>
    <t>1754310501-332</t>
  </si>
  <si>
    <t>1754310504-333</t>
  </si>
  <si>
    <t>1754310506-334</t>
  </si>
  <si>
    <t>1754310509-335</t>
  </si>
  <si>
    <t>1754310511-336</t>
  </si>
  <si>
    <t>1754310514-337</t>
  </si>
  <si>
    <t>1754310516-338</t>
  </si>
  <si>
    <t>1754310519-339</t>
  </si>
  <si>
    <t>1754310521-340</t>
  </si>
  <si>
    <t>1754310524-341</t>
  </si>
  <si>
    <t>AloGardening Guava Plant</t>
  </si>
  <si>
    <t>1754310527-342</t>
  </si>
  <si>
    <t>1754310529-343</t>
  </si>
  <si>
    <t>1754310532-344</t>
  </si>
  <si>
    <t>1754310534-345</t>
  </si>
  <si>
    <t>1754310537-346</t>
  </si>
  <si>
    <t>1754310539-347</t>
  </si>
  <si>
    <t>GIRISHA TRADERS Two Layer Bamboo Plant, Lucky Bamboo St...</t>
  </si>
  <si>
    <t>NiMoj</t>
  </si>
  <si>
    <t>1754310542-348</t>
  </si>
  <si>
    <t>Cloud Farm Tulsi Plant</t>
  </si>
  <si>
    <t>1754310544-349</t>
  </si>
  <si>
    <t>1754310547-350</t>
  </si>
  <si>
    <t>1754310549-351</t>
  </si>
  <si>
    <t>Cloud Farm Kiwi Plant</t>
  </si>
  <si>
    <t>1754310552-352</t>
  </si>
  <si>
    <t>Cloud Farm Peace Lily Plant</t>
  </si>
  <si>
    <t>1754310554-353</t>
  </si>
  <si>
    <t>1754310557-354</t>
  </si>
  <si>
    <t>1754310559-355</t>
  </si>
  <si>
    <t>Real Nature Two Layer Bamboo Plant</t>
  </si>
  <si>
    <t>RealNature1</t>
  </si>
  <si>
    <t>1754310562-356</t>
  </si>
  <si>
    <t>Cloud Farm Ficus Plant</t>
  </si>
  <si>
    <t>1754310565-357</t>
  </si>
  <si>
    <t>GrowWithUs Clitoria Ternatea Aparajita Plant, Clitoria ...</t>
  </si>
  <si>
    <t>LaxmiMatanursery</t>
  </si>
  <si>
    <t>1754310567-358</t>
  </si>
  <si>
    <t>1754310570-359</t>
  </si>
  <si>
    <t>1754310572-360</t>
  </si>
  <si>
    <t>1754310578-361</t>
  </si>
  <si>
    <t>1754310580-362</t>
  </si>
  <si>
    <t>1754310583-363</t>
  </si>
  <si>
    <t>1754310586-364</t>
  </si>
  <si>
    <t>1754310588-365</t>
  </si>
  <si>
    <t>1754310591-366</t>
  </si>
  <si>
    <t>1754310593-367</t>
  </si>
  <si>
    <t>1754310596-368</t>
  </si>
  <si>
    <t>1754310598-369</t>
  </si>
  <si>
    <t>1754310601-370</t>
  </si>
  <si>
    <t>1754310604-371</t>
  </si>
  <si>
    <t>Cloud Farm Jack Fruit Plant</t>
  </si>
  <si>
    <t>1754310606-372</t>
  </si>
  <si>
    <t>1754310609-373</t>
  </si>
  <si>
    <t>1754310611-374</t>
  </si>
  <si>
    <t>1754310614-375</t>
  </si>
  <si>
    <t>Gabbro Two Layer Bamboo Plant</t>
  </si>
  <si>
    <t>1754310616-376</t>
  </si>
  <si>
    <t>1754310619-377</t>
  </si>
  <si>
    <t>AMBRUZZ Rose Plant</t>
  </si>
  <si>
    <t>Asvora</t>
  </si>
  <si>
    <t>1754310622-378</t>
  </si>
  <si>
    <t>1754310631-379</t>
  </si>
  <si>
    <t>1754310641-380</t>
  </si>
  <si>
    <t>1754310646-381</t>
  </si>
  <si>
    <t>Hot Climate Apple Plant</t>
  </si>
  <si>
    <t>1754310648-382</t>
  </si>
  <si>
    <t>1754310655-383</t>
  </si>
  <si>
    <t>1754310657-384</t>
  </si>
  <si>
    <t>1754310661-385</t>
  </si>
  <si>
    <t>AloGardening Adenium Plant</t>
  </si>
  <si>
    <t>1754310664-386</t>
  </si>
  <si>
    <t>1754310669-387</t>
  </si>
  <si>
    <t>Mohomaya Star Fruit Carambola Grafted Plant</t>
  </si>
  <si>
    <t>GOPANURSERY</t>
  </si>
  <si>
    <t>1754310682-388</t>
  </si>
  <si>
    <t>Risenshine Apple Plant</t>
  </si>
  <si>
    <t>1754310685-389</t>
  </si>
  <si>
    <t>1754310687-390</t>
  </si>
  <si>
    <t>1754310689-391</t>
  </si>
  <si>
    <t>1754310693-392</t>
  </si>
  <si>
    <t>1754310696-393</t>
  </si>
  <si>
    <t>1754310699-394</t>
  </si>
  <si>
    <t>PLANTTOOZS Rose Plant</t>
  </si>
  <si>
    <t>1754310702-395</t>
  </si>
  <si>
    <t>1754310704-396</t>
  </si>
  <si>
    <t>1754310707-397</t>
  </si>
  <si>
    <t>1754310709-398</t>
  </si>
  <si>
    <t>SKDIYA Money Plant</t>
  </si>
  <si>
    <t>RIDHIMAHALDER</t>
  </si>
  <si>
    <t>1754310712-399</t>
  </si>
  <si>
    <t>1754310715-400</t>
  </si>
  <si>
    <t>1754310717-401</t>
  </si>
  <si>
    <t>1754310723-402</t>
  </si>
  <si>
    <t>1754310726-403</t>
  </si>
  <si>
    <t>1754310728-404</t>
  </si>
  <si>
    <t>1754310731-405</t>
  </si>
  <si>
    <t>1754310733-406</t>
  </si>
  <si>
    <t>1754310736-407</t>
  </si>
  <si>
    <t>1754310738-408</t>
  </si>
  <si>
    <t>1754310741-409</t>
  </si>
  <si>
    <t>1754310743-410</t>
  </si>
  <si>
    <t>1754310746-411</t>
  </si>
  <si>
    <t>1754310748-412</t>
  </si>
  <si>
    <t>1754310756-413</t>
  </si>
  <si>
    <t>1754310758-414</t>
  </si>
  <si>
    <t>1754310761-415</t>
  </si>
  <si>
    <t>1754310764-416</t>
  </si>
  <si>
    <t>1754310767-417</t>
  </si>
  <si>
    <t>1754310769-418</t>
  </si>
  <si>
    <t>1754310772-419</t>
  </si>
  <si>
    <t>1754310775-420</t>
  </si>
  <si>
    <t>1754310777-421</t>
  </si>
  <si>
    <t>1754310780-422</t>
  </si>
  <si>
    <t>1754310782-423</t>
  </si>
  <si>
    <t>1754310785-424</t>
  </si>
  <si>
    <t>1754310796-425</t>
  </si>
  <si>
    <t>1754310799-426</t>
  </si>
  <si>
    <t>1754310801-427</t>
  </si>
  <si>
    <t>1754310804-428</t>
  </si>
  <si>
    <t>1754310806-429</t>
  </si>
  <si>
    <t>1754310809-430</t>
  </si>
  <si>
    <t>1754310811-431</t>
  </si>
  <si>
    <t>1754310814-432</t>
  </si>
  <si>
    <t>1754310816-433</t>
  </si>
  <si>
    <t>1754310819-434</t>
  </si>
  <si>
    <t>1754310824-435</t>
  </si>
  <si>
    <t>1754310842-436</t>
  </si>
  <si>
    <t>1754310853-437</t>
  </si>
  <si>
    <t>1754310856-438</t>
  </si>
  <si>
    <t>1754310859-439</t>
  </si>
  <si>
    <t>1754310861-440</t>
  </si>
  <si>
    <t>Plant Name</t>
  </si>
  <si>
    <t>ID</t>
  </si>
  <si>
    <t>RIGHT</t>
  </si>
  <si>
    <t>LEFT</t>
  </si>
  <si>
    <t>webscraperorder</t>
  </si>
  <si>
    <t>right</t>
  </si>
  <si>
    <t>Right Function</t>
  </si>
  <si>
    <t>Bonsai</t>
  </si>
  <si>
    <t>Shrub</t>
  </si>
  <si>
    <t>Herb</t>
  </si>
  <si>
    <t>Succulent</t>
  </si>
  <si>
    <t>Air purifier plant</t>
  </si>
  <si>
    <t>Foliage</t>
  </si>
  <si>
    <t>Bamboo</t>
  </si>
  <si>
    <t>Fruit</t>
  </si>
  <si>
    <t>Flower</t>
  </si>
  <si>
    <t>Tree</t>
  </si>
  <si>
    <t>Creepers and Climbers</t>
  </si>
  <si>
    <t>Outdoor</t>
  </si>
  <si>
    <t>Indoor</t>
  </si>
  <si>
    <t>mean rating</t>
  </si>
  <si>
    <t>median rating</t>
  </si>
  <si>
    <t xml:space="preserve">mode </t>
  </si>
  <si>
    <t>Both</t>
  </si>
  <si>
    <t>small</t>
  </si>
  <si>
    <t>medium</t>
  </si>
  <si>
    <t>large</t>
  </si>
  <si>
    <t>Oxygreenplant Areca Palm  </t>
  </si>
  <si>
    <t>Hybrid, Pack of 1)</t>
  </si>
  <si>
    <t>Bijaya Online Store Areca Palm  </t>
  </si>
  <si>
    <t>Hybrid, Pack of 2)</t>
  </si>
  <si>
    <t>UGAOO Variegated Money Plant  </t>
  </si>
  <si>
    <t>Pack of 1)</t>
  </si>
  <si>
    <t>UGAOO Golden Money Plant  </t>
  </si>
  <si>
    <t>PLANTTOOZS Clove Plant  </t>
  </si>
  <si>
    <t>K,M.GREEN Areca Palm  </t>
  </si>
  <si>
    <t>ABEFARIYA ZZ Plant  </t>
  </si>
  <si>
    <t>EliteGreen Clove Plant  </t>
  </si>
  <si>
    <t>UGAOO Jade Plant  </t>
  </si>
  <si>
    <t>Cloud Farm Dracaena Plant  </t>
  </si>
  <si>
    <t>ABEFARIYA Areca Palm  </t>
  </si>
  <si>
    <t>UGAOO Njoy Money Plant  </t>
  </si>
  <si>
    <t>Mohomaya Areca Palm  </t>
  </si>
  <si>
    <t>Cloud Farm Clove Plant  </t>
  </si>
  <si>
    <t>ALG Clove Plant  </t>
  </si>
  <si>
    <t>Oxygreenplant Clove Plant  </t>
  </si>
  <si>
    <t>Cloud Farm Baugainvillea Plant  </t>
  </si>
  <si>
    <t>ABEFARIYA Clove Plant  </t>
  </si>
  <si>
    <t>AloGardening Rubber Tree  </t>
  </si>
  <si>
    <t>areca palm Areca Palm  </t>
  </si>
  <si>
    <t>GreenyOn Clove Plant  </t>
  </si>
  <si>
    <t>GreensFord ZZ Plant  </t>
  </si>
  <si>
    <t>Globalplants Areca Palm  </t>
  </si>
  <si>
    <t>Cloud Farm Pistachio Plant  </t>
  </si>
  <si>
    <t>UGAOO Jade Plant, Variegated Money Plant, Golden Money Plant, Two Layer Bamboo Plant  </t>
  </si>
  <si>
    <t>Pack of 4)</t>
  </si>
  <si>
    <t>Oxygreenplant Anthurium Plant  </t>
  </si>
  <si>
    <t>sspykrts Ficus Bonsai  </t>
  </si>
  <si>
    <t>UGAOO Areca Palm  </t>
  </si>
  <si>
    <t>ABEFARIYA Areca Palm, Areca Palm  </t>
  </si>
  <si>
    <t>FSK Clove Plant  </t>
  </si>
  <si>
    <t>Cloud Farm ZZ Plant  </t>
  </si>
  <si>
    <t>PB REBA PLANT Areca Plam  </t>
  </si>
  <si>
    <t>Oxygreenplant ZZ Plant  </t>
  </si>
  <si>
    <t>NDS Areca Palm  </t>
  </si>
  <si>
    <t>FasonGreen Areca Palm  </t>
  </si>
  <si>
    <t>PLANTTOOZS China Palm Plant  </t>
  </si>
  <si>
    <t>pb mandira plant Areca Palm  </t>
  </si>
  <si>
    <t>Hybrid, Pack of 175)</t>
  </si>
  <si>
    <t>AloGardening Areca Palm  </t>
  </si>
  <si>
    <t>ABC Areca Palm  </t>
  </si>
  <si>
    <t>Darjeeling Planters Jackfruit Plant  </t>
  </si>
  <si>
    <t>KPL BERRY PLANT Blackberry Lily Plant  </t>
  </si>
  <si>
    <t>MAHAMAYA A TO Z Tuberose/Rajnigandha Plant  </t>
  </si>
  <si>
    <t>Hybrid, Pack of 4)</t>
  </si>
  <si>
    <t>KPL SWEET BASIL Sweet Basil Plant  </t>
  </si>
  <si>
    <t>greenhousestore Portulaca Plant  </t>
  </si>
  <si>
    <t>Mohomaya Custard Apple Plant  </t>
  </si>
  <si>
    <t>Samarthgreens Apple Plant  </t>
  </si>
  <si>
    <t>e generix Betel Nut/Supari Plant  </t>
  </si>
  <si>
    <t>CHILLATAI Lily Plant  </t>
  </si>
  <si>
    <t>GULMOHAR Royal Poinciana Plant  </t>
  </si>
  <si>
    <t>Cloud Farm Dragon Tree  </t>
  </si>
  <si>
    <t>Aquinnah Chiku Plant  </t>
  </si>
  <si>
    <t>Cloud Farm Jackfruit Plant  </t>
  </si>
  <si>
    <t>HERBALISM Jaboticaba Plant  </t>
  </si>
  <si>
    <t>langda mango Mango Plant  </t>
  </si>
  <si>
    <t>Tha live root hanging jelly Indian Snakeroot Plant  </t>
  </si>
  <si>
    <t>Oxygreenplant Tabebuia rosea  </t>
  </si>
  <si>
    <t>Aquinnah Kiwi Plant  </t>
  </si>
  <si>
    <t>Cloud Farm Rosemary Plant  </t>
  </si>
  <si>
    <t>LaughEarth Lemon Plant  </t>
  </si>
  <si>
    <t>Jiffy Plants Curtain Creeper Plant  </t>
  </si>
  <si>
    <t>BDSresolve Sarpagandha Plant  </t>
  </si>
  <si>
    <t>RudraECOM Cherry Fruit Plant  </t>
  </si>
  <si>
    <t>Greensolution Jade Plant  </t>
  </si>
  <si>
    <t>Biswas Bloom Rose Plant, Rose Apple Plant  </t>
  </si>
  <si>
    <t>FSK Kiwi Plant  </t>
  </si>
  <si>
    <t>Risenshine Curry Leaf Plant  </t>
  </si>
  <si>
    <t>LATOSTAZAS Litchi Plant  </t>
  </si>
  <si>
    <t>Gopikananda Berry Plant  </t>
  </si>
  <si>
    <t>Ebainz Brazilian Wood  </t>
  </si>
  <si>
    <t>EarthAngel Bougainvillea Plant  </t>
  </si>
  <si>
    <t>Global Mart Plant Indian Snakeroot Plant  </t>
  </si>
  <si>
    <t>greenhousestore Golden Champa Plant  </t>
  </si>
  <si>
    <t>Heaven Of Saplings Apple Plant  </t>
  </si>
  <si>
    <t>Samarthgreens Banana Plant  </t>
  </si>
  <si>
    <t>Cloud Farm Pomegranate Plant  </t>
  </si>
  <si>
    <t>Cloud Farm Walnut Plant  </t>
  </si>
  <si>
    <t>DOOR TO GARDEN Bay Leaf Plant  </t>
  </si>
  <si>
    <t>PlantNature Guava Plant  </t>
  </si>
  <si>
    <t>amloki Amla Plant  </t>
  </si>
  <si>
    <t>suvo nursary Duranta Plant  </t>
  </si>
  <si>
    <t>ABEFARIYA Bougainvillea Plant  </t>
  </si>
  <si>
    <t>LATOSTAZAS Lemon Plant  </t>
  </si>
  <si>
    <t>Aquinnah Areca Palm  </t>
  </si>
  <si>
    <t>Aquinnah Graden Bella Palm Plant  </t>
  </si>
  <si>
    <t>greenhousestore Crassula Plant  </t>
  </si>
  <si>
    <t>greenhousestore Bel Plant  </t>
  </si>
  <si>
    <t>Ukanda Litchi Plant  </t>
  </si>
  <si>
    <t>greengrow Baleria Plant  </t>
  </si>
  <si>
    <t>Cloud Farm Almond Plant  </t>
  </si>
  <si>
    <t>DAIVISH Guava Plant  </t>
  </si>
  <si>
    <t>Samarthgreens Shami/Jand Plant  </t>
  </si>
  <si>
    <t>AquinnahGaden Dragon Tree  </t>
  </si>
  <si>
    <t>Hybrid, Pack of 3)</t>
  </si>
  <si>
    <t>FSK Betel Nut/Supari Plant  </t>
  </si>
  <si>
    <t xml:space="preserve">Ayansh Plants Sudarshan Medicinal Plant </t>
  </si>
  <si>
    <t>Pack of 1, Herb)  </t>
  </si>
  <si>
    <t>AAM Mango Plant  </t>
  </si>
  <si>
    <t>Global Mart Plant Insulin Plant  </t>
  </si>
  <si>
    <t>DEBNATH Brahma Kamal Plant  </t>
  </si>
  <si>
    <t>PLANTTOOZS Shami/Jand Plant  </t>
  </si>
  <si>
    <t>Cloud Farm Ashok Plant  </t>
  </si>
  <si>
    <t>Global Mart Plant Mini Brazalian wood  </t>
  </si>
  <si>
    <t>UGAOO Aralia Plant  </t>
  </si>
  <si>
    <t>PLANTTOOZS Red Sandalwood Plant  </t>
  </si>
  <si>
    <t>Unisam Bel patra plant Pot Bel Plant  </t>
  </si>
  <si>
    <t>PLANTTOOZS Apple Plant  </t>
  </si>
  <si>
    <t>MAITRA AND SONS Betel Nut/Supari Plant  </t>
  </si>
  <si>
    <t>Barhloew Rasna Plant  </t>
  </si>
  <si>
    <t>MAITRA AND SONS Avocado Plant  </t>
  </si>
  <si>
    <t>Plant Paradise Rudraksha Plant  </t>
  </si>
  <si>
    <t>FarmStorey Echeveria Plant, Sedum Plant  </t>
  </si>
  <si>
    <t>Hybrid, Pack of 20)</t>
  </si>
  <si>
    <t>MAITRA AND SONS Peace Lily Plant  </t>
  </si>
  <si>
    <t>LaughEarth Custard Apple Plant  </t>
  </si>
  <si>
    <t>RUKDA Aloe Vera Plant  </t>
  </si>
  <si>
    <t>Pack of 2)</t>
  </si>
  <si>
    <t>Mohomaya Mango Plant  </t>
  </si>
  <si>
    <t>Cloud Farm Pear Plant  </t>
  </si>
  <si>
    <t>AloGardening Mango Plant  </t>
  </si>
  <si>
    <t>MondallNursery Oxalis  </t>
  </si>
  <si>
    <t>Oxygreenplant Shahtoot/Mulberry Plant  </t>
  </si>
  <si>
    <t>Click to purchase Madhu Kamini Plant  </t>
  </si>
  <si>
    <t>Aquinnah Black Pepper Plant  </t>
  </si>
  <si>
    <t>Krishna all time mango plant Mango Plant  </t>
  </si>
  <si>
    <t>Gabbro Crasulla Ovata Plant  </t>
  </si>
  <si>
    <t>Mohomaya Hibiscus Plant  </t>
  </si>
  <si>
    <t>greenhousestore Coconut Plant  </t>
  </si>
  <si>
    <t>Aquinnah Nutmeg Plant  </t>
  </si>
  <si>
    <t>Greenium Aglaonema Plant  </t>
  </si>
  <si>
    <t>greenhousestore Cashew Apple Plant  </t>
  </si>
  <si>
    <t>pomgardening Apple Plant  </t>
  </si>
  <si>
    <t>Agroholic Traders Money Plant  </t>
  </si>
  <si>
    <t>HYBRID Jambu Bira Plant, Kak Jam Plant, Jamun Plant, White Jamun Plant  </t>
  </si>
  <si>
    <t>GreenHavenn Mahogany Plant  </t>
  </si>
  <si>
    <t>UGAOO Snake Plant  </t>
  </si>
  <si>
    <t>PEEPALSFARM Betel Leaf Plant  </t>
  </si>
  <si>
    <t>Hybrid, Pack of 5)</t>
  </si>
  <si>
    <t>Cloud Farm Jade Plant  </t>
  </si>
  <si>
    <t>GreenyOn ZZ Plant  </t>
  </si>
  <si>
    <t>Augadh Orange Plant  </t>
  </si>
  <si>
    <t>My Dream Nursery Syngonium Plant  </t>
  </si>
  <si>
    <t>UGAOO Two Layer Bamboo Plant  </t>
  </si>
  <si>
    <t>Oaul Store Areca Plam  </t>
  </si>
  <si>
    <t>MATARANURSERY Agarwood Plant  </t>
  </si>
  <si>
    <t>Flipkart SmartBuy Two Layer Bamboo Plant  </t>
  </si>
  <si>
    <t>Cloud Farm Platycladus/Morpankhi Plant  </t>
  </si>
  <si>
    <t>DRACENAPLANT RAJDHANINURSERY Dracaena Plant  </t>
  </si>
  <si>
    <t>Decorate The World Areca Palm  </t>
  </si>
  <si>
    <t>Exotica HRMN Grafted Apple Plant  </t>
  </si>
  <si>
    <t>Cloud Farm Apple Plant  </t>
  </si>
  <si>
    <t>Risenshine ZZ Plant  </t>
  </si>
  <si>
    <t>APOSOLUARD Baugainvillea Plant  </t>
  </si>
  <si>
    <t>UGAOO Three Layer Bamboo Plant  </t>
  </si>
  <si>
    <t>Cloud Farm Grapes Plant  </t>
  </si>
  <si>
    <t>Cloud Farm Orange Plant  </t>
  </si>
  <si>
    <t>Aquinnah ZZ Plant  </t>
  </si>
  <si>
    <t>Cloud Farm Guava Plant  </t>
  </si>
  <si>
    <t>Cloud Farm Hibiscus Plant  </t>
  </si>
  <si>
    <t>Cloud Farm Strawberry Plant  </t>
  </si>
  <si>
    <t>LivePlant Syngonium Plant  </t>
  </si>
  <si>
    <t>Cloud Farm Parijat/Harsingar Plant  </t>
  </si>
  <si>
    <t>GLOBQRO Grape Plant  </t>
  </si>
  <si>
    <t>AloGardening Shahtoot/Mulberry Plant  </t>
  </si>
  <si>
    <t>AloGardening Guava Plant  </t>
  </si>
  <si>
    <t>GIRISHA TRADERS Two Layer Bamboo Plant, Lucky Bamboo Straight Stick, Dracaena Plant  </t>
  </si>
  <si>
    <t>Cloud Farm Tulsi Plant  </t>
  </si>
  <si>
    <t>Cloud Farm Kiwi Plant  </t>
  </si>
  <si>
    <t>Cloud Farm Peace Lily Plant  </t>
  </si>
  <si>
    <t>Real Nature Two Layer Bamboo Plant  </t>
  </si>
  <si>
    <t>Cloud Farm Ficus Plant  </t>
  </si>
  <si>
    <t>GrowWithUs Clitoria Ternatea Aparajita Plant, Clitoria Ternatea Aparajita Plant  </t>
  </si>
  <si>
    <t>Cloud Farm Jack Fruit Plant  </t>
  </si>
  <si>
    <t>Gabbro Two Layer Bamboo Plant  </t>
  </si>
  <si>
    <t>AMBRUZZ Rose Plant  </t>
  </si>
  <si>
    <t>Hot Climate Apple Plant  </t>
  </si>
  <si>
    <t>AloGardening Adenium Plant  </t>
  </si>
  <si>
    <t>Hybrid, Pack of 6)</t>
  </si>
  <si>
    <t>Mohomaya Star Fruit Carambola Grafted Plant  </t>
  </si>
  <si>
    <t>Risenshine Apple Plant  </t>
  </si>
  <si>
    <t>PLANTTOOZS Rose Plant  </t>
  </si>
  <si>
    <t>SKDIYA Money Plant  </t>
  </si>
  <si>
    <t>Decide Price Range</t>
  </si>
  <si>
    <t>Row Labels</t>
  </si>
  <si>
    <t>Grand Total</t>
  </si>
  <si>
    <t>Sum of ORIGINAL PRICE</t>
  </si>
  <si>
    <t>Sum of SPECIAL PRICE</t>
  </si>
  <si>
    <t>Mean</t>
  </si>
  <si>
    <t>Standard Error</t>
  </si>
  <si>
    <t>Median</t>
  </si>
  <si>
    <t>Mode</t>
  </si>
  <si>
    <t>Standard Deviation</t>
  </si>
  <si>
    <t>Sample Variance</t>
  </si>
  <si>
    <t>Kurtosis</t>
  </si>
  <si>
    <t>Skewness</t>
  </si>
  <si>
    <t>Range</t>
  </si>
  <si>
    <t>Minimum</t>
  </si>
  <si>
    <t>Maximum</t>
  </si>
  <si>
    <t>Sum</t>
  </si>
  <si>
    <t>Count</t>
  </si>
  <si>
    <t>Largest(1)</t>
  </si>
  <si>
    <t>Smallest(1)</t>
  </si>
  <si>
    <t>Count of NAME</t>
  </si>
  <si>
    <t>No Returns Allowed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</si>
</sst>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2"/>
      <color theme="1"/>
      <name val="Calibri"/>
      <family val="2"/>
      <scheme val="minor"/>
    </font>
    <font>
      <b/>
      <sz val="12"/>
      <color theme="1"/>
      <name val="Calibri"/>
      <family val="2"/>
      <scheme val="minor"/>
    </font>
    <font>
      <b/>
      <sz val="9"/>
      <color theme="1"/>
      <name val="Calibri"/>
      <family val="2"/>
      <scheme val="minor"/>
    </font>
    <font>
      <sz val="9"/>
      <color theme="1"/>
      <name val="Calibri"/>
      <family val="2"/>
      <scheme val="minor"/>
    </font>
    <font>
      <b/>
      <sz val="10"/>
      <color theme="1"/>
      <name val="Calibri"/>
      <family val="2"/>
      <scheme val="minor"/>
    </font>
    <font>
      <i/>
      <sz val="12"/>
      <color theme="1"/>
      <name val="Calibri"/>
      <family val="2"/>
      <scheme val="minor"/>
    </font>
  </fonts>
  <fills count="3">
    <fill>
      <patternFill patternType="none"/>
    </fill>
    <fill>
      <patternFill patternType="gray125"/>
    </fill>
    <fill>
      <patternFill patternType="solid">
        <fgColor theme="9" tint="-0.49998474074526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2">
    <xf numFmtId="0" fontId="0" fillId="0" borderId="0" xfId="0"/>
    <xf numFmtId="0" fontId="0" fillId="0" borderId="0" xfId="0" applyAlignment="1">
      <alignment wrapText="1"/>
    </xf>
    <xf numFmtId="2" fontId="0" fillId="0" borderId="1" xfId="0" applyNumberFormat="1" applyBorder="1"/>
    <xf numFmtId="2" fontId="0" fillId="0" borderId="0" xfId="0" applyNumberFormat="1"/>
    <xf numFmtId="0" fontId="0" fillId="0" borderId="1" xfId="0" applyBorder="1"/>
    <xf numFmtId="0" fontId="1" fillId="0" borderId="1" xfId="0" applyFont="1" applyBorder="1" applyAlignment="1">
      <alignment wrapText="1"/>
    </xf>
    <xf numFmtId="0" fontId="1" fillId="0" borderId="1" xfId="0" applyFont="1" applyBorder="1"/>
    <xf numFmtId="0" fontId="1" fillId="0" borderId="0" xfId="0" applyFont="1"/>
    <xf numFmtId="164" fontId="0" fillId="0" borderId="0" xfId="0" applyNumberFormat="1"/>
    <xf numFmtId="9" fontId="0" fillId="0" borderId="1" xfId="0" applyNumberFormat="1" applyBorder="1"/>
    <xf numFmtId="0" fontId="2" fillId="0" borderId="1" xfId="0" applyFont="1" applyBorder="1"/>
    <xf numFmtId="0" fontId="3" fillId="0" borderId="1" xfId="0" applyFont="1" applyBorder="1"/>
    <xf numFmtId="0" fontId="3" fillId="0" borderId="0" xfId="0" applyFont="1"/>
    <xf numFmtId="2" fontId="4" fillId="0" borderId="1" xfId="0" applyNumberFormat="1" applyFont="1" applyBorder="1"/>
    <xf numFmtId="0" fontId="4" fillId="0" borderId="1" xfId="0" applyFont="1" applyBorder="1"/>
    <xf numFmtId="0" fontId="0" fillId="0" borderId="0" xfId="0" pivotButton="1"/>
    <xf numFmtId="0" fontId="0" fillId="0" borderId="0" xfId="0" applyAlignment="1">
      <alignment horizontal="left"/>
    </xf>
    <xf numFmtId="0" fontId="0" fillId="0" borderId="0" xfId="0" pivotButton="1" applyAlignment="1">
      <alignment wrapText="1"/>
    </xf>
    <xf numFmtId="0" fontId="0" fillId="0" borderId="2" xfId="0" applyBorder="1"/>
    <xf numFmtId="0" fontId="5" fillId="0" borderId="3" xfId="0" applyFont="1" applyBorder="1" applyAlignment="1">
      <alignment horizontal="centerContinuous"/>
    </xf>
    <xf numFmtId="0" fontId="0" fillId="2" borderId="0" xfId="0" applyFill="1"/>
    <xf numFmtId="0" fontId="0" fillId="0" borderId="0" xfId="0" applyAlignment="1">
      <alignment horizontal="center"/>
    </xf>
  </cellXfs>
  <cellStyles count="1">
    <cellStyle name="Normal" xfId="0" builtinId="0"/>
  </cellStyles>
  <dxfs count="3">
    <dxf>
      <alignment wrapText="1"/>
    </dxf>
    <dxf>
      <alignment wrapText="1"/>
    </dxf>
    <dxf>
      <alignment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[plant_url.xlsx]Pivot Plantsize!PivotTable1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Plant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s>
    <c:plotArea>
      <c:layout/>
      <c:pieChart>
        <c:varyColors val="1"/>
        <c:ser>
          <c:idx val="0"/>
          <c:order val="0"/>
          <c:tx>
            <c:strRef>
              <c:f>'Pivot Plantsize'!$B$3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5566-4480-B14D-1AC5DD0810F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5566-4480-B14D-1AC5DD0810FB}"/>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5566-4480-B14D-1AC5DD0810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Plantsize'!$A$4:$A$7</c:f>
              <c:strCache>
                <c:ptCount val="3"/>
                <c:pt idx="0">
                  <c:v>Large</c:v>
                </c:pt>
                <c:pt idx="1">
                  <c:v>Medium</c:v>
                </c:pt>
                <c:pt idx="2">
                  <c:v>Small</c:v>
                </c:pt>
              </c:strCache>
            </c:strRef>
          </c:cat>
          <c:val>
            <c:numRef>
              <c:f>'Pivot Plantsize'!$B$4:$B$7</c:f>
              <c:numCache>
                <c:formatCode>General</c:formatCode>
                <c:ptCount val="3"/>
                <c:pt idx="0">
                  <c:v>2</c:v>
                </c:pt>
                <c:pt idx="1">
                  <c:v>119</c:v>
                </c:pt>
                <c:pt idx="2">
                  <c:v>319</c:v>
                </c:pt>
              </c:numCache>
            </c:numRef>
          </c:val>
          <c:extLst>
            <c:ext xmlns:c16="http://schemas.microsoft.com/office/drawing/2014/chart" uri="{C3380CC4-5D6E-409C-BE32-E72D297353CC}">
              <c16:uniqueId val="{00000000-AEA0-4B6C-B533-42CB8492B55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[plant_url.xlsx]Pivot Plant location!PivotTable3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Plant</a:t>
            </a:r>
            <a:r>
              <a:rPr lang="en-IN" baseline="0"/>
              <a:t> Location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Plant location'!$B$3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Plant location'!$A$4:$A$7</c:f>
              <c:strCache>
                <c:ptCount val="3"/>
                <c:pt idx="0">
                  <c:v>Both</c:v>
                </c:pt>
                <c:pt idx="1">
                  <c:v>Indoor</c:v>
                </c:pt>
                <c:pt idx="2">
                  <c:v>Outdoor</c:v>
                </c:pt>
              </c:strCache>
            </c:strRef>
          </c:cat>
          <c:val>
            <c:numRef>
              <c:f>'Pivot Plant location'!$B$4:$B$7</c:f>
              <c:numCache>
                <c:formatCode>General</c:formatCode>
                <c:ptCount val="3"/>
                <c:pt idx="0">
                  <c:v>123</c:v>
                </c:pt>
                <c:pt idx="1">
                  <c:v>193</c:v>
                </c:pt>
                <c:pt idx="2">
                  <c:v>124</c:v>
                </c:pt>
              </c:numCache>
            </c:numRef>
          </c:val>
          <c:extLst>
            <c:ext xmlns:c16="http://schemas.microsoft.com/office/drawing/2014/chart" uri="{C3380CC4-5D6E-409C-BE32-E72D297353CC}">
              <c16:uniqueId val="{00000000-842A-423A-BEB1-10A72C88AC6D}"/>
            </c:ext>
          </c:extLst>
        </c:ser>
        <c:dLbls>
          <c:dLblPos val="outEnd"/>
          <c:showLegendKey val="0"/>
          <c:showVal val="1"/>
          <c:showCatName val="0"/>
          <c:showSerName val="0"/>
          <c:showPercent val="0"/>
          <c:showBubbleSize val="0"/>
        </c:dLbls>
        <c:gapWidth val="219"/>
        <c:overlap val="-27"/>
        <c:axId val="1323411376"/>
        <c:axId val="1323412336"/>
      </c:barChart>
      <c:catAx>
        <c:axId val="132341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412336"/>
        <c:crosses val="autoZero"/>
        <c:auto val="1"/>
        <c:lblAlgn val="ctr"/>
        <c:lblOffset val="100"/>
        <c:noMultiLvlLbl val="0"/>
      </c:catAx>
      <c:valAx>
        <c:axId val="132341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41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[plant_url.xlsx]Pivot 10 Brand name!PivotTable4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Brand </a:t>
            </a:r>
            <a:endParaRPr lang="en-US"/>
          </a:p>
        </c:rich>
      </c:tx>
      <c:layout>
        <c:manualLayout>
          <c:xMode val="edge"/>
          <c:yMode val="edge"/>
          <c:x val="0.46754130223517981"/>
          <c:y val="7.61647541497585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10 Brand name'!$B$3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10 Brand name'!$A$4:$A$17</c:f>
              <c:strCache>
                <c:ptCount val="13"/>
                <c:pt idx="0">
                  <c:v>UGAOO</c:v>
                </c:pt>
                <c:pt idx="1">
                  <c:v>AlaiStore</c:v>
                </c:pt>
                <c:pt idx="2">
                  <c:v>CloudFarming</c:v>
                </c:pt>
                <c:pt idx="3">
                  <c:v>GreenyOn</c:v>
                </c:pt>
                <c:pt idx="4">
                  <c:v>RoyANDRoyTraders</c:v>
                </c:pt>
                <c:pt idx="5">
                  <c:v>OXYGREENPLANT</c:v>
                </c:pt>
                <c:pt idx="6">
                  <c:v>SKYTCOM</c:v>
                </c:pt>
                <c:pt idx="7">
                  <c:v>TheEntacloo</c:v>
                </c:pt>
                <c:pt idx="8">
                  <c:v>Digitalgreenpar</c:v>
                </c:pt>
                <c:pt idx="9">
                  <c:v>Barhloew</c:v>
                </c:pt>
                <c:pt idx="10">
                  <c:v>GLOBQRO</c:v>
                </c:pt>
                <c:pt idx="11">
                  <c:v>NELSONnurseryPLANT</c:v>
                </c:pt>
                <c:pt idx="12">
                  <c:v>NALQUITS</c:v>
                </c:pt>
              </c:strCache>
            </c:strRef>
          </c:cat>
          <c:val>
            <c:numRef>
              <c:f>'Pivot 10 Brand name'!$B$4:$B$17</c:f>
              <c:numCache>
                <c:formatCode>General</c:formatCode>
                <c:ptCount val="13"/>
                <c:pt idx="0">
                  <c:v>177</c:v>
                </c:pt>
                <c:pt idx="1">
                  <c:v>55</c:v>
                </c:pt>
                <c:pt idx="2">
                  <c:v>35</c:v>
                </c:pt>
                <c:pt idx="3">
                  <c:v>25</c:v>
                </c:pt>
                <c:pt idx="4">
                  <c:v>10</c:v>
                </c:pt>
                <c:pt idx="5">
                  <c:v>10</c:v>
                </c:pt>
                <c:pt idx="6">
                  <c:v>7</c:v>
                </c:pt>
                <c:pt idx="7">
                  <c:v>5</c:v>
                </c:pt>
                <c:pt idx="8">
                  <c:v>5</c:v>
                </c:pt>
                <c:pt idx="9">
                  <c:v>4</c:v>
                </c:pt>
                <c:pt idx="10">
                  <c:v>4</c:v>
                </c:pt>
                <c:pt idx="11">
                  <c:v>4</c:v>
                </c:pt>
                <c:pt idx="12">
                  <c:v>4</c:v>
                </c:pt>
              </c:numCache>
            </c:numRef>
          </c:val>
          <c:extLst>
            <c:ext xmlns:c16="http://schemas.microsoft.com/office/drawing/2014/chart" uri="{C3380CC4-5D6E-409C-BE32-E72D297353CC}">
              <c16:uniqueId val="{00000000-EA30-45DC-91C7-425BC0515C7A}"/>
            </c:ext>
          </c:extLst>
        </c:ser>
        <c:dLbls>
          <c:dLblPos val="outEnd"/>
          <c:showLegendKey val="0"/>
          <c:showVal val="1"/>
          <c:showCatName val="0"/>
          <c:showSerName val="0"/>
          <c:showPercent val="0"/>
          <c:showBubbleSize val="0"/>
        </c:dLbls>
        <c:gapWidth val="219"/>
        <c:overlap val="-27"/>
        <c:axId val="1423341056"/>
        <c:axId val="1423343456"/>
      </c:barChart>
      <c:catAx>
        <c:axId val="142334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343456"/>
        <c:crosses val="autoZero"/>
        <c:auto val="1"/>
        <c:lblAlgn val="ctr"/>
        <c:lblOffset val="100"/>
        <c:noMultiLvlLbl val="0"/>
      </c:catAx>
      <c:valAx>
        <c:axId val="142334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34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[plant_url.xlsx]Pivot Nonreturn!PivotTable5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Returns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s>
    <c:plotArea>
      <c:layout/>
      <c:pieChart>
        <c:varyColors val="1"/>
        <c:ser>
          <c:idx val="0"/>
          <c:order val="0"/>
          <c:tx>
            <c:strRef>
              <c:f>'Pivot Nonreturn'!$B$3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742B-4BBC-8E3D-F074ECB296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Nonreturn'!$A$4:$A$5</c:f>
              <c:strCache>
                <c:ptCount val="1"/>
                <c:pt idx="0">
                  <c:v>No Returns Allowed</c:v>
                </c:pt>
              </c:strCache>
            </c:strRef>
          </c:cat>
          <c:val>
            <c:numRef>
              <c:f>'Pivot Nonreturn'!$B$4:$B$5</c:f>
              <c:numCache>
                <c:formatCode>General</c:formatCode>
                <c:ptCount val="1"/>
                <c:pt idx="0">
                  <c:v>440</c:v>
                </c:pt>
              </c:numCache>
            </c:numRef>
          </c:val>
          <c:extLst>
            <c:ext xmlns:c16="http://schemas.microsoft.com/office/drawing/2014/chart" uri="{C3380CC4-5D6E-409C-BE32-E72D297353CC}">
              <c16:uniqueId val="{00000000-38A2-490B-A947-4D0BA3F527F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[plant_url.xlsx]Pivot Plantype!PivotTable6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Plant</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pPr>
            <a:solidFill>
              <a:schemeClr val="accent6"/>
            </a:solidFill>
            <a:ln w="9525">
              <a:solidFill>
                <a:schemeClr val="accent6"/>
              </a:solidFill>
            </a:ln>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
        <c:idx val="20"/>
        <c:spPr>
          <a:solidFill>
            <a:schemeClr val="accent6"/>
          </a:solidFill>
          <a:ln w="19050">
            <a:solidFill>
              <a:schemeClr val="lt1"/>
            </a:solidFill>
          </a:ln>
          <a:effectLst/>
        </c:spPr>
      </c:pivotFmt>
    </c:pivotFmts>
    <c:plotArea>
      <c:layout/>
      <c:pieChart>
        <c:varyColors val="1"/>
        <c:ser>
          <c:idx val="0"/>
          <c:order val="0"/>
          <c:tx>
            <c:strRef>
              <c:f>'Pivot Plantype'!$B$3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28B1-4DD9-BA52-0391B9233316}"/>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28B1-4DD9-BA52-0391B9233316}"/>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28B1-4DD9-BA52-0391B9233316}"/>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28B1-4DD9-BA52-0391B9233316}"/>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28B1-4DD9-BA52-0391B9233316}"/>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B842-48ED-8E3B-BD3C7DD2C4E1}"/>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D-B842-48ED-8E3B-BD3C7DD2C4E1}"/>
              </c:ext>
            </c:extLst>
          </c:dPt>
          <c:dPt>
            <c:idx val="7"/>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F-B842-48ED-8E3B-BD3C7DD2C4E1}"/>
              </c:ext>
            </c:extLst>
          </c:dPt>
          <c:dPt>
            <c:idx val="8"/>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1-B842-48ED-8E3B-BD3C7DD2C4E1}"/>
              </c:ext>
            </c:extLst>
          </c:dPt>
          <c:dPt>
            <c:idx val="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3-B842-48ED-8E3B-BD3C7DD2C4E1}"/>
              </c:ext>
            </c:extLst>
          </c:dPt>
          <c:dPt>
            <c:idx val="1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15-B842-48ED-8E3B-BD3C7DD2C4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Plantype'!$A$4:$A$15</c:f>
              <c:strCache>
                <c:ptCount val="11"/>
                <c:pt idx="0">
                  <c:v>Fruit</c:v>
                </c:pt>
                <c:pt idx="1">
                  <c:v>Succulent</c:v>
                </c:pt>
                <c:pt idx="2">
                  <c:v>Shrub</c:v>
                </c:pt>
                <c:pt idx="3">
                  <c:v>Herb</c:v>
                </c:pt>
                <c:pt idx="4">
                  <c:v>Flower</c:v>
                </c:pt>
                <c:pt idx="5">
                  <c:v>Foliage</c:v>
                </c:pt>
                <c:pt idx="6">
                  <c:v>Bamboo</c:v>
                </c:pt>
                <c:pt idx="7">
                  <c:v>Air purifier plant</c:v>
                </c:pt>
                <c:pt idx="8">
                  <c:v>Tree</c:v>
                </c:pt>
                <c:pt idx="9">
                  <c:v>Bonsai</c:v>
                </c:pt>
                <c:pt idx="10">
                  <c:v>Creepers and Climbers</c:v>
                </c:pt>
              </c:strCache>
            </c:strRef>
          </c:cat>
          <c:val>
            <c:numRef>
              <c:f>'Pivot Plantype'!$B$4:$B$15</c:f>
              <c:numCache>
                <c:formatCode>General</c:formatCode>
                <c:ptCount val="11"/>
                <c:pt idx="0">
                  <c:v>100</c:v>
                </c:pt>
                <c:pt idx="1">
                  <c:v>95</c:v>
                </c:pt>
                <c:pt idx="2">
                  <c:v>82</c:v>
                </c:pt>
                <c:pt idx="3">
                  <c:v>57</c:v>
                </c:pt>
                <c:pt idx="4">
                  <c:v>28</c:v>
                </c:pt>
                <c:pt idx="5">
                  <c:v>23</c:v>
                </c:pt>
                <c:pt idx="6">
                  <c:v>19</c:v>
                </c:pt>
                <c:pt idx="7">
                  <c:v>14</c:v>
                </c:pt>
                <c:pt idx="8">
                  <c:v>11</c:v>
                </c:pt>
                <c:pt idx="9">
                  <c:v>10</c:v>
                </c:pt>
                <c:pt idx="10">
                  <c:v>1</c:v>
                </c:pt>
              </c:numCache>
            </c:numRef>
          </c:val>
          <c:extLst>
            <c:ext xmlns:c16="http://schemas.microsoft.com/office/drawing/2014/chart" uri="{C3380CC4-5D6E-409C-BE32-E72D297353CC}">
              <c16:uniqueId val="{00000004-E896-4F4E-A591-A16BA68E3FF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Special</a:t>
            </a:r>
            <a:r>
              <a:rPr lang="en-IN" baseline="0"/>
              <a:t> Price and Discount Scatter Plot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6"/>
              </a:solidFill>
              <a:ln w="9525">
                <a:solidFill>
                  <a:schemeClr val="accent6"/>
                </a:solidFill>
              </a:ln>
              <a:effectLst/>
            </c:spPr>
          </c:marker>
          <c:xVal>
            <c:numRef>
              <c:f>'Special discount Scatter'!$A$2:$A$441</c:f>
              <c:numCache>
                <c:formatCode>0.00</c:formatCode>
                <c:ptCount val="440"/>
                <c:pt idx="0">
                  <c:v>199</c:v>
                </c:pt>
                <c:pt idx="1">
                  <c:v>171</c:v>
                </c:pt>
                <c:pt idx="2">
                  <c:v>384</c:v>
                </c:pt>
                <c:pt idx="3">
                  <c:v>349</c:v>
                </c:pt>
                <c:pt idx="4">
                  <c:v>150</c:v>
                </c:pt>
                <c:pt idx="5">
                  <c:v>169</c:v>
                </c:pt>
                <c:pt idx="6">
                  <c:v>250</c:v>
                </c:pt>
                <c:pt idx="7">
                  <c:v>153</c:v>
                </c:pt>
                <c:pt idx="8">
                  <c:v>384</c:v>
                </c:pt>
                <c:pt idx="9">
                  <c:v>335</c:v>
                </c:pt>
                <c:pt idx="10">
                  <c:v>135</c:v>
                </c:pt>
                <c:pt idx="11">
                  <c:v>160</c:v>
                </c:pt>
                <c:pt idx="12">
                  <c:v>516</c:v>
                </c:pt>
                <c:pt idx="13">
                  <c:v>388</c:v>
                </c:pt>
                <c:pt idx="14">
                  <c:v>145</c:v>
                </c:pt>
                <c:pt idx="15">
                  <c:v>179</c:v>
                </c:pt>
                <c:pt idx="16">
                  <c:v>142</c:v>
                </c:pt>
                <c:pt idx="17">
                  <c:v>135</c:v>
                </c:pt>
                <c:pt idx="18">
                  <c:v>349</c:v>
                </c:pt>
                <c:pt idx="19">
                  <c:v>349</c:v>
                </c:pt>
                <c:pt idx="20">
                  <c:v>264</c:v>
                </c:pt>
                <c:pt idx="21">
                  <c:v>135</c:v>
                </c:pt>
                <c:pt idx="22">
                  <c:v>424</c:v>
                </c:pt>
                <c:pt idx="23">
                  <c:v>359</c:v>
                </c:pt>
                <c:pt idx="24">
                  <c:v>196</c:v>
                </c:pt>
                <c:pt idx="25">
                  <c:v>134</c:v>
                </c:pt>
                <c:pt idx="26">
                  <c:v>169</c:v>
                </c:pt>
                <c:pt idx="27">
                  <c:v>233</c:v>
                </c:pt>
                <c:pt idx="28">
                  <c:v>335</c:v>
                </c:pt>
                <c:pt idx="29">
                  <c:v>426</c:v>
                </c:pt>
                <c:pt idx="30">
                  <c:v>155</c:v>
                </c:pt>
                <c:pt idx="31">
                  <c:v>250</c:v>
                </c:pt>
                <c:pt idx="32">
                  <c:v>335</c:v>
                </c:pt>
                <c:pt idx="33">
                  <c:v>335</c:v>
                </c:pt>
                <c:pt idx="34">
                  <c:v>137</c:v>
                </c:pt>
                <c:pt idx="35">
                  <c:v>135</c:v>
                </c:pt>
                <c:pt idx="36">
                  <c:v>200</c:v>
                </c:pt>
                <c:pt idx="37">
                  <c:v>215</c:v>
                </c:pt>
                <c:pt idx="38">
                  <c:v>331</c:v>
                </c:pt>
                <c:pt idx="39">
                  <c:v>325</c:v>
                </c:pt>
                <c:pt idx="40">
                  <c:v>145</c:v>
                </c:pt>
                <c:pt idx="41">
                  <c:v>1011</c:v>
                </c:pt>
                <c:pt idx="42">
                  <c:v>384</c:v>
                </c:pt>
                <c:pt idx="43">
                  <c:v>349</c:v>
                </c:pt>
                <c:pt idx="44">
                  <c:v>198</c:v>
                </c:pt>
                <c:pt idx="45">
                  <c:v>149</c:v>
                </c:pt>
                <c:pt idx="46">
                  <c:v>454</c:v>
                </c:pt>
                <c:pt idx="47">
                  <c:v>188</c:v>
                </c:pt>
                <c:pt idx="48">
                  <c:v>384</c:v>
                </c:pt>
                <c:pt idx="49">
                  <c:v>335</c:v>
                </c:pt>
                <c:pt idx="50">
                  <c:v>149</c:v>
                </c:pt>
                <c:pt idx="51">
                  <c:v>132</c:v>
                </c:pt>
                <c:pt idx="52">
                  <c:v>516</c:v>
                </c:pt>
                <c:pt idx="53">
                  <c:v>388</c:v>
                </c:pt>
                <c:pt idx="54">
                  <c:v>216</c:v>
                </c:pt>
                <c:pt idx="55">
                  <c:v>144</c:v>
                </c:pt>
                <c:pt idx="56">
                  <c:v>145</c:v>
                </c:pt>
                <c:pt idx="57">
                  <c:v>165</c:v>
                </c:pt>
                <c:pt idx="58">
                  <c:v>349</c:v>
                </c:pt>
                <c:pt idx="59">
                  <c:v>349</c:v>
                </c:pt>
                <c:pt idx="60">
                  <c:v>189</c:v>
                </c:pt>
                <c:pt idx="61">
                  <c:v>149</c:v>
                </c:pt>
                <c:pt idx="62">
                  <c:v>424</c:v>
                </c:pt>
                <c:pt idx="63">
                  <c:v>359</c:v>
                </c:pt>
                <c:pt idx="64">
                  <c:v>149</c:v>
                </c:pt>
                <c:pt idx="65">
                  <c:v>188</c:v>
                </c:pt>
                <c:pt idx="66">
                  <c:v>135</c:v>
                </c:pt>
                <c:pt idx="67">
                  <c:v>149</c:v>
                </c:pt>
                <c:pt idx="68">
                  <c:v>335</c:v>
                </c:pt>
                <c:pt idx="69">
                  <c:v>426</c:v>
                </c:pt>
                <c:pt idx="70">
                  <c:v>200</c:v>
                </c:pt>
                <c:pt idx="71">
                  <c:v>277</c:v>
                </c:pt>
                <c:pt idx="72">
                  <c:v>335</c:v>
                </c:pt>
                <c:pt idx="73">
                  <c:v>335</c:v>
                </c:pt>
                <c:pt idx="74">
                  <c:v>169</c:v>
                </c:pt>
                <c:pt idx="75">
                  <c:v>207</c:v>
                </c:pt>
                <c:pt idx="76">
                  <c:v>149</c:v>
                </c:pt>
                <c:pt idx="77">
                  <c:v>224</c:v>
                </c:pt>
                <c:pt idx="78">
                  <c:v>331</c:v>
                </c:pt>
                <c:pt idx="79">
                  <c:v>325</c:v>
                </c:pt>
                <c:pt idx="80">
                  <c:v>135</c:v>
                </c:pt>
                <c:pt idx="81">
                  <c:v>146</c:v>
                </c:pt>
                <c:pt idx="82">
                  <c:v>384</c:v>
                </c:pt>
                <c:pt idx="83">
                  <c:v>349</c:v>
                </c:pt>
                <c:pt idx="84">
                  <c:v>140</c:v>
                </c:pt>
                <c:pt idx="85">
                  <c:v>149</c:v>
                </c:pt>
                <c:pt idx="86">
                  <c:v>149</c:v>
                </c:pt>
                <c:pt idx="87">
                  <c:v>182</c:v>
                </c:pt>
                <c:pt idx="88">
                  <c:v>384</c:v>
                </c:pt>
                <c:pt idx="89">
                  <c:v>335</c:v>
                </c:pt>
                <c:pt idx="90">
                  <c:v>135</c:v>
                </c:pt>
                <c:pt idx="91">
                  <c:v>167</c:v>
                </c:pt>
                <c:pt idx="92">
                  <c:v>516</c:v>
                </c:pt>
                <c:pt idx="93">
                  <c:v>388</c:v>
                </c:pt>
                <c:pt idx="94">
                  <c:v>528</c:v>
                </c:pt>
                <c:pt idx="95">
                  <c:v>181</c:v>
                </c:pt>
                <c:pt idx="96">
                  <c:v>147</c:v>
                </c:pt>
                <c:pt idx="97">
                  <c:v>137</c:v>
                </c:pt>
                <c:pt idx="98">
                  <c:v>349</c:v>
                </c:pt>
                <c:pt idx="99">
                  <c:v>349</c:v>
                </c:pt>
                <c:pt idx="100">
                  <c:v>145</c:v>
                </c:pt>
                <c:pt idx="101">
                  <c:v>492</c:v>
                </c:pt>
                <c:pt idx="102">
                  <c:v>424</c:v>
                </c:pt>
                <c:pt idx="103">
                  <c:v>359</c:v>
                </c:pt>
                <c:pt idx="104">
                  <c:v>191</c:v>
                </c:pt>
                <c:pt idx="105">
                  <c:v>205</c:v>
                </c:pt>
                <c:pt idx="106">
                  <c:v>180</c:v>
                </c:pt>
                <c:pt idx="107">
                  <c:v>142</c:v>
                </c:pt>
                <c:pt idx="108">
                  <c:v>335</c:v>
                </c:pt>
                <c:pt idx="109">
                  <c:v>426</c:v>
                </c:pt>
                <c:pt idx="110">
                  <c:v>172</c:v>
                </c:pt>
                <c:pt idx="111">
                  <c:v>130</c:v>
                </c:pt>
                <c:pt idx="112">
                  <c:v>335</c:v>
                </c:pt>
                <c:pt idx="113">
                  <c:v>335</c:v>
                </c:pt>
                <c:pt idx="114">
                  <c:v>253</c:v>
                </c:pt>
                <c:pt idx="115">
                  <c:v>179</c:v>
                </c:pt>
                <c:pt idx="116">
                  <c:v>121</c:v>
                </c:pt>
                <c:pt idx="117">
                  <c:v>169</c:v>
                </c:pt>
                <c:pt idx="118">
                  <c:v>331</c:v>
                </c:pt>
                <c:pt idx="119">
                  <c:v>325</c:v>
                </c:pt>
                <c:pt idx="120">
                  <c:v>139</c:v>
                </c:pt>
                <c:pt idx="121">
                  <c:v>140</c:v>
                </c:pt>
                <c:pt idx="122">
                  <c:v>384</c:v>
                </c:pt>
                <c:pt idx="123">
                  <c:v>349</c:v>
                </c:pt>
                <c:pt idx="124">
                  <c:v>135</c:v>
                </c:pt>
                <c:pt idx="125">
                  <c:v>158</c:v>
                </c:pt>
                <c:pt idx="126">
                  <c:v>210</c:v>
                </c:pt>
                <c:pt idx="127">
                  <c:v>205</c:v>
                </c:pt>
                <c:pt idx="128">
                  <c:v>384</c:v>
                </c:pt>
                <c:pt idx="129">
                  <c:v>335</c:v>
                </c:pt>
                <c:pt idx="130">
                  <c:v>177</c:v>
                </c:pt>
                <c:pt idx="131">
                  <c:v>177</c:v>
                </c:pt>
                <c:pt idx="132">
                  <c:v>516</c:v>
                </c:pt>
                <c:pt idx="133">
                  <c:v>388</c:v>
                </c:pt>
                <c:pt idx="134">
                  <c:v>145</c:v>
                </c:pt>
                <c:pt idx="135">
                  <c:v>140</c:v>
                </c:pt>
                <c:pt idx="136">
                  <c:v>140</c:v>
                </c:pt>
                <c:pt idx="137">
                  <c:v>137</c:v>
                </c:pt>
                <c:pt idx="138">
                  <c:v>349</c:v>
                </c:pt>
                <c:pt idx="139">
                  <c:v>349</c:v>
                </c:pt>
                <c:pt idx="140">
                  <c:v>142</c:v>
                </c:pt>
                <c:pt idx="141">
                  <c:v>150</c:v>
                </c:pt>
                <c:pt idx="142">
                  <c:v>424</c:v>
                </c:pt>
                <c:pt idx="143">
                  <c:v>359</c:v>
                </c:pt>
                <c:pt idx="144">
                  <c:v>231</c:v>
                </c:pt>
                <c:pt idx="145">
                  <c:v>128</c:v>
                </c:pt>
                <c:pt idx="146">
                  <c:v>123</c:v>
                </c:pt>
                <c:pt idx="147">
                  <c:v>161</c:v>
                </c:pt>
                <c:pt idx="148">
                  <c:v>335</c:v>
                </c:pt>
                <c:pt idx="149">
                  <c:v>426</c:v>
                </c:pt>
                <c:pt idx="150">
                  <c:v>142</c:v>
                </c:pt>
                <c:pt idx="151">
                  <c:v>121</c:v>
                </c:pt>
                <c:pt idx="152">
                  <c:v>335</c:v>
                </c:pt>
                <c:pt idx="153">
                  <c:v>335</c:v>
                </c:pt>
                <c:pt idx="154">
                  <c:v>134</c:v>
                </c:pt>
                <c:pt idx="155">
                  <c:v>188</c:v>
                </c:pt>
                <c:pt idx="156">
                  <c:v>150</c:v>
                </c:pt>
                <c:pt idx="157">
                  <c:v>134</c:v>
                </c:pt>
                <c:pt idx="158">
                  <c:v>331</c:v>
                </c:pt>
                <c:pt idx="159">
                  <c:v>325</c:v>
                </c:pt>
                <c:pt idx="160">
                  <c:v>149</c:v>
                </c:pt>
                <c:pt idx="161">
                  <c:v>147</c:v>
                </c:pt>
                <c:pt idx="162">
                  <c:v>384</c:v>
                </c:pt>
                <c:pt idx="163">
                  <c:v>349</c:v>
                </c:pt>
                <c:pt idx="164">
                  <c:v>145</c:v>
                </c:pt>
                <c:pt idx="165">
                  <c:v>198</c:v>
                </c:pt>
                <c:pt idx="166">
                  <c:v>140</c:v>
                </c:pt>
                <c:pt idx="167">
                  <c:v>165</c:v>
                </c:pt>
                <c:pt idx="168">
                  <c:v>384</c:v>
                </c:pt>
                <c:pt idx="169">
                  <c:v>335</c:v>
                </c:pt>
                <c:pt idx="170">
                  <c:v>132</c:v>
                </c:pt>
                <c:pt idx="171">
                  <c:v>193</c:v>
                </c:pt>
                <c:pt idx="172">
                  <c:v>516</c:v>
                </c:pt>
                <c:pt idx="173">
                  <c:v>388</c:v>
                </c:pt>
                <c:pt idx="174">
                  <c:v>150</c:v>
                </c:pt>
                <c:pt idx="175">
                  <c:v>139</c:v>
                </c:pt>
                <c:pt idx="176">
                  <c:v>230</c:v>
                </c:pt>
                <c:pt idx="177">
                  <c:v>140</c:v>
                </c:pt>
                <c:pt idx="178">
                  <c:v>349</c:v>
                </c:pt>
                <c:pt idx="179">
                  <c:v>349</c:v>
                </c:pt>
                <c:pt idx="180">
                  <c:v>155</c:v>
                </c:pt>
                <c:pt idx="181">
                  <c:v>170</c:v>
                </c:pt>
                <c:pt idx="182">
                  <c:v>424</c:v>
                </c:pt>
                <c:pt idx="183">
                  <c:v>359</c:v>
                </c:pt>
                <c:pt idx="184">
                  <c:v>392</c:v>
                </c:pt>
                <c:pt idx="185">
                  <c:v>140</c:v>
                </c:pt>
                <c:pt idx="186">
                  <c:v>140</c:v>
                </c:pt>
                <c:pt idx="187">
                  <c:v>162</c:v>
                </c:pt>
                <c:pt idx="188">
                  <c:v>335</c:v>
                </c:pt>
                <c:pt idx="189">
                  <c:v>426</c:v>
                </c:pt>
                <c:pt idx="190">
                  <c:v>169</c:v>
                </c:pt>
                <c:pt idx="191">
                  <c:v>279</c:v>
                </c:pt>
                <c:pt idx="192">
                  <c:v>335</c:v>
                </c:pt>
                <c:pt idx="193">
                  <c:v>335</c:v>
                </c:pt>
                <c:pt idx="194">
                  <c:v>144</c:v>
                </c:pt>
                <c:pt idx="195">
                  <c:v>176</c:v>
                </c:pt>
                <c:pt idx="196">
                  <c:v>994</c:v>
                </c:pt>
                <c:pt idx="197">
                  <c:v>182</c:v>
                </c:pt>
                <c:pt idx="198">
                  <c:v>331</c:v>
                </c:pt>
                <c:pt idx="199">
                  <c:v>325</c:v>
                </c:pt>
                <c:pt idx="200">
                  <c:v>132</c:v>
                </c:pt>
                <c:pt idx="201">
                  <c:v>179</c:v>
                </c:pt>
                <c:pt idx="202">
                  <c:v>384</c:v>
                </c:pt>
                <c:pt idx="203">
                  <c:v>349</c:v>
                </c:pt>
                <c:pt idx="204">
                  <c:v>270</c:v>
                </c:pt>
                <c:pt idx="205">
                  <c:v>157</c:v>
                </c:pt>
                <c:pt idx="206">
                  <c:v>193</c:v>
                </c:pt>
                <c:pt idx="207">
                  <c:v>199</c:v>
                </c:pt>
                <c:pt idx="208">
                  <c:v>384</c:v>
                </c:pt>
                <c:pt idx="209">
                  <c:v>335</c:v>
                </c:pt>
                <c:pt idx="210">
                  <c:v>220</c:v>
                </c:pt>
                <c:pt idx="211">
                  <c:v>140</c:v>
                </c:pt>
                <c:pt idx="212">
                  <c:v>516</c:v>
                </c:pt>
                <c:pt idx="213">
                  <c:v>388</c:v>
                </c:pt>
                <c:pt idx="214">
                  <c:v>140</c:v>
                </c:pt>
                <c:pt idx="215">
                  <c:v>137</c:v>
                </c:pt>
                <c:pt idx="216">
                  <c:v>198</c:v>
                </c:pt>
                <c:pt idx="217">
                  <c:v>222</c:v>
                </c:pt>
                <c:pt idx="218">
                  <c:v>349</c:v>
                </c:pt>
                <c:pt idx="219">
                  <c:v>349</c:v>
                </c:pt>
                <c:pt idx="220">
                  <c:v>283</c:v>
                </c:pt>
                <c:pt idx="221">
                  <c:v>179</c:v>
                </c:pt>
                <c:pt idx="222">
                  <c:v>424</c:v>
                </c:pt>
                <c:pt idx="223">
                  <c:v>359</c:v>
                </c:pt>
                <c:pt idx="224">
                  <c:v>135</c:v>
                </c:pt>
                <c:pt idx="225">
                  <c:v>212</c:v>
                </c:pt>
                <c:pt idx="226">
                  <c:v>147</c:v>
                </c:pt>
                <c:pt idx="227">
                  <c:v>120</c:v>
                </c:pt>
                <c:pt idx="228">
                  <c:v>335</c:v>
                </c:pt>
                <c:pt idx="229">
                  <c:v>426</c:v>
                </c:pt>
                <c:pt idx="230">
                  <c:v>142</c:v>
                </c:pt>
                <c:pt idx="231">
                  <c:v>195</c:v>
                </c:pt>
                <c:pt idx="232">
                  <c:v>335</c:v>
                </c:pt>
                <c:pt idx="233">
                  <c:v>335</c:v>
                </c:pt>
                <c:pt idx="234">
                  <c:v>172</c:v>
                </c:pt>
                <c:pt idx="235">
                  <c:v>135</c:v>
                </c:pt>
                <c:pt idx="236">
                  <c:v>283</c:v>
                </c:pt>
                <c:pt idx="237">
                  <c:v>161</c:v>
                </c:pt>
                <c:pt idx="238">
                  <c:v>331</c:v>
                </c:pt>
                <c:pt idx="239">
                  <c:v>325</c:v>
                </c:pt>
                <c:pt idx="240">
                  <c:v>212</c:v>
                </c:pt>
                <c:pt idx="241">
                  <c:v>169</c:v>
                </c:pt>
                <c:pt idx="242">
                  <c:v>134</c:v>
                </c:pt>
                <c:pt idx="243">
                  <c:v>349</c:v>
                </c:pt>
                <c:pt idx="244">
                  <c:v>147</c:v>
                </c:pt>
                <c:pt idx="245">
                  <c:v>157</c:v>
                </c:pt>
                <c:pt idx="246">
                  <c:v>149</c:v>
                </c:pt>
                <c:pt idx="247">
                  <c:v>290</c:v>
                </c:pt>
                <c:pt idx="248">
                  <c:v>384</c:v>
                </c:pt>
                <c:pt idx="249">
                  <c:v>335</c:v>
                </c:pt>
                <c:pt idx="250">
                  <c:v>217</c:v>
                </c:pt>
                <c:pt idx="251">
                  <c:v>165</c:v>
                </c:pt>
                <c:pt idx="252">
                  <c:v>516</c:v>
                </c:pt>
                <c:pt idx="253">
                  <c:v>388</c:v>
                </c:pt>
                <c:pt idx="254">
                  <c:v>135</c:v>
                </c:pt>
                <c:pt idx="255">
                  <c:v>179</c:v>
                </c:pt>
                <c:pt idx="256">
                  <c:v>142</c:v>
                </c:pt>
                <c:pt idx="257">
                  <c:v>137</c:v>
                </c:pt>
                <c:pt idx="258">
                  <c:v>349</c:v>
                </c:pt>
                <c:pt idx="259">
                  <c:v>349</c:v>
                </c:pt>
                <c:pt idx="260">
                  <c:v>135</c:v>
                </c:pt>
                <c:pt idx="261">
                  <c:v>140</c:v>
                </c:pt>
                <c:pt idx="262">
                  <c:v>424</c:v>
                </c:pt>
                <c:pt idx="263">
                  <c:v>359</c:v>
                </c:pt>
                <c:pt idx="264">
                  <c:v>310</c:v>
                </c:pt>
                <c:pt idx="265">
                  <c:v>149</c:v>
                </c:pt>
                <c:pt idx="266">
                  <c:v>169</c:v>
                </c:pt>
                <c:pt idx="267">
                  <c:v>345</c:v>
                </c:pt>
                <c:pt idx="268">
                  <c:v>335</c:v>
                </c:pt>
                <c:pt idx="269">
                  <c:v>426</c:v>
                </c:pt>
                <c:pt idx="270">
                  <c:v>203</c:v>
                </c:pt>
                <c:pt idx="271">
                  <c:v>140</c:v>
                </c:pt>
                <c:pt idx="272">
                  <c:v>335</c:v>
                </c:pt>
                <c:pt idx="273">
                  <c:v>335</c:v>
                </c:pt>
                <c:pt idx="274">
                  <c:v>151</c:v>
                </c:pt>
                <c:pt idx="275">
                  <c:v>150</c:v>
                </c:pt>
                <c:pt idx="276">
                  <c:v>158</c:v>
                </c:pt>
                <c:pt idx="277">
                  <c:v>145</c:v>
                </c:pt>
                <c:pt idx="278">
                  <c:v>331</c:v>
                </c:pt>
                <c:pt idx="279">
                  <c:v>325</c:v>
                </c:pt>
                <c:pt idx="280">
                  <c:v>159</c:v>
                </c:pt>
                <c:pt idx="281">
                  <c:v>380</c:v>
                </c:pt>
                <c:pt idx="282">
                  <c:v>167</c:v>
                </c:pt>
                <c:pt idx="283">
                  <c:v>349</c:v>
                </c:pt>
                <c:pt idx="284">
                  <c:v>130</c:v>
                </c:pt>
                <c:pt idx="285">
                  <c:v>426</c:v>
                </c:pt>
                <c:pt idx="286">
                  <c:v>147</c:v>
                </c:pt>
                <c:pt idx="287">
                  <c:v>150</c:v>
                </c:pt>
                <c:pt idx="288">
                  <c:v>384</c:v>
                </c:pt>
                <c:pt idx="289">
                  <c:v>335</c:v>
                </c:pt>
                <c:pt idx="290">
                  <c:v>165</c:v>
                </c:pt>
                <c:pt idx="291">
                  <c:v>150</c:v>
                </c:pt>
                <c:pt idx="292">
                  <c:v>516</c:v>
                </c:pt>
                <c:pt idx="293">
                  <c:v>388</c:v>
                </c:pt>
                <c:pt idx="294">
                  <c:v>169</c:v>
                </c:pt>
                <c:pt idx="295">
                  <c:v>160</c:v>
                </c:pt>
                <c:pt idx="296">
                  <c:v>145</c:v>
                </c:pt>
                <c:pt idx="297">
                  <c:v>167</c:v>
                </c:pt>
                <c:pt idx="298">
                  <c:v>349</c:v>
                </c:pt>
                <c:pt idx="299">
                  <c:v>349</c:v>
                </c:pt>
                <c:pt idx="300">
                  <c:v>145</c:v>
                </c:pt>
                <c:pt idx="301">
                  <c:v>145</c:v>
                </c:pt>
                <c:pt idx="302">
                  <c:v>424</c:v>
                </c:pt>
                <c:pt idx="303">
                  <c:v>359</c:v>
                </c:pt>
                <c:pt idx="304">
                  <c:v>144</c:v>
                </c:pt>
                <c:pt idx="305">
                  <c:v>135</c:v>
                </c:pt>
                <c:pt idx="306">
                  <c:v>135</c:v>
                </c:pt>
                <c:pt idx="307">
                  <c:v>135</c:v>
                </c:pt>
                <c:pt idx="308">
                  <c:v>335</c:v>
                </c:pt>
                <c:pt idx="309">
                  <c:v>426</c:v>
                </c:pt>
                <c:pt idx="310">
                  <c:v>142</c:v>
                </c:pt>
                <c:pt idx="311">
                  <c:v>132</c:v>
                </c:pt>
                <c:pt idx="312">
                  <c:v>335</c:v>
                </c:pt>
                <c:pt idx="313">
                  <c:v>335</c:v>
                </c:pt>
                <c:pt idx="314">
                  <c:v>132</c:v>
                </c:pt>
                <c:pt idx="315">
                  <c:v>132</c:v>
                </c:pt>
                <c:pt idx="316">
                  <c:v>142</c:v>
                </c:pt>
                <c:pt idx="317">
                  <c:v>142</c:v>
                </c:pt>
                <c:pt idx="318">
                  <c:v>331</c:v>
                </c:pt>
                <c:pt idx="319">
                  <c:v>325</c:v>
                </c:pt>
                <c:pt idx="320">
                  <c:v>145</c:v>
                </c:pt>
                <c:pt idx="321">
                  <c:v>147</c:v>
                </c:pt>
                <c:pt idx="322">
                  <c:v>116</c:v>
                </c:pt>
                <c:pt idx="323">
                  <c:v>349</c:v>
                </c:pt>
                <c:pt idx="324">
                  <c:v>157</c:v>
                </c:pt>
                <c:pt idx="325">
                  <c:v>137</c:v>
                </c:pt>
                <c:pt idx="326">
                  <c:v>140</c:v>
                </c:pt>
                <c:pt idx="327">
                  <c:v>137</c:v>
                </c:pt>
                <c:pt idx="328">
                  <c:v>384</c:v>
                </c:pt>
                <c:pt idx="329">
                  <c:v>335</c:v>
                </c:pt>
                <c:pt idx="330">
                  <c:v>145</c:v>
                </c:pt>
                <c:pt idx="331">
                  <c:v>145</c:v>
                </c:pt>
                <c:pt idx="332">
                  <c:v>516</c:v>
                </c:pt>
                <c:pt idx="333">
                  <c:v>388</c:v>
                </c:pt>
                <c:pt idx="334">
                  <c:v>142</c:v>
                </c:pt>
                <c:pt idx="335">
                  <c:v>182</c:v>
                </c:pt>
                <c:pt idx="336">
                  <c:v>145</c:v>
                </c:pt>
                <c:pt idx="337">
                  <c:v>155</c:v>
                </c:pt>
                <c:pt idx="338">
                  <c:v>349</c:v>
                </c:pt>
                <c:pt idx="339">
                  <c:v>349</c:v>
                </c:pt>
                <c:pt idx="340">
                  <c:v>150</c:v>
                </c:pt>
                <c:pt idx="341">
                  <c:v>144</c:v>
                </c:pt>
                <c:pt idx="342">
                  <c:v>424</c:v>
                </c:pt>
                <c:pt idx="343">
                  <c:v>359</c:v>
                </c:pt>
                <c:pt idx="344">
                  <c:v>144</c:v>
                </c:pt>
                <c:pt idx="345">
                  <c:v>137</c:v>
                </c:pt>
                <c:pt idx="346">
                  <c:v>250</c:v>
                </c:pt>
                <c:pt idx="347">
                  <c:v>145</c:v>
                </c:pt>
                <c:pt idx="348">
                  <c:v>335</c:v>
                </c:pt>
                <c:pt idx="349">
                  <c:v>426</c:v>
                </c:pt>
                <c:pt idx="350">
                  <c:v>160</c:v>
                </c:pt>
                <c:pt idx="351">
                  <c:v>169</c:v>
                </c:pt>
                <c:pt idx="352">
                  <c:v>335</c:v>
                </c:pt>
                <c:pt idx="353">
                  <c:v>335</c:v>
                </c:pt>
                <c:pt idx="354">
                  <c:v>297</c:v>
                </c:pt>
                <c:pt idx="355">
                  <c:v>145</c:v>
                </c:pt>
                <c:pt idx="356">
                  <c:v>198</c:v>
                </c:pt>
                <c:pt idx="357">
                  <c:v>145</c:v>
                </c:pt>
                <c:pt idx="358">
                  <c:v>331</c:v>
                </c:pt>
                <c:pt idx="359">
                  <c:v>325</c:v>
                </c:pt>
                <c:pt idx="360">
                  <c:v>145</c:v>
                </c:pt>
                <c:pt idx="361">
                  <c:v>140</c:v>
                </c:pt>
                <c:pt idx="362">
                  <c:v>349</c:v>
                </c:pt>
                <c:pt idx="363">
                  <c:v>384</c:v>
                </c:pt>
                <c:pt idx="364">
                  <c:v>145</c:v>
                </c:pt>
                <c:pt idx="365">
                  <c:v>212</c:v>
                </c:pt>
                <c:pt idx="366">
                  <c:v>160</c:v>
                </c:pt>
                <c:pt idx="367">
                  <c:v>145</c:v>
                </c:pt>
                <c:pt idx="368">
                  <c:v>335</c:v>
                </c:pt>
                <c:pt idx="369">
                  <c:v>516</c:v>
                </c:pt>
                <c:pt idx="370">
                  <c:v>145</c:v>
                </c:pt>
                <c:pt idx="371">
                  <c:v>177</c:v>
                </c:pt>
                <c:pt idx="372">
                  <c:v>388</c:v>
                </c:pt>
                <c:pt idx="373">
                  <c:v>349</c:v>
                </c:pt>
                <c:pt idx="374">
                  <c:v>300</c:v>
                </c:pt>
                <c:pt idx="375">
                  <c:v>120</c:v>
                </c:pt>
                <c:pt idx="376">
                  <c:v>177</c:v>
                </c:pt>
                <c:pt idx="377">
                  <c:v>145</c:v>
                </c:pt>
                <c:pt idx="378">
                  <c:v>349</c:v>
                </c:pt>
                <c:pt idx="379">
                  <c:v>424</c:v>
                </c:pt>
                <c:pt idx="380">
                  <c:v>135</c:v>
                </c:pt>
                <c:pt idx="381">
                  <c:v>135</c:v>
                </c:pt>
                <c:pt idx="382">
                  <c:v>359</c:v>
                </c:pt>
                <c:pt idx="383">
                  <c:v>335</c:v>
                </c:pt>
                <c:pt idx="384">
                  <c:v>286</c:v>
                </c:pt>
                <c:pt idx="385">
                  <c:v>142</c:v>
                </c:pt>
                <c:pt idx="386">
                  <c:v>283</c:v>
                </c:pt>
                <c:pt idx="387">
                  <c:v>147</c:v>
                </c:pt>
                <c:pt idx="388">
                  <c:v>426</c:v>
                </c:pt>
                <c:pt idx="389">
                  <c:v>335</c:v>
                </c:pt>
                <c:pt idx="390">
                  <c:v>179</c:v>
                </c:pt>
                <c:pt idx="391">
                  <c:v>144</c:v>
                </c:pt>
                <c:pt idx="392">
                  <c:v>283</c:v>
                </c:pt>
                <c:pt idx="393">
                  <c:v>139</c:v>
                </c:pt>
                <c:pt idx="394">
                  <c:v>335</c:v>
                </c:pt>
                <c:pt idx="395">
                  <c:v>135</c:v>
                </c:pt>
                <c:pt idx="396">
                  <c:v>142</c:v>
                </c:pt>
                <c:pt idx="397">
                  <c:v>167</c:v>
                </c:pt>
                <c:pt idx="398">
                  <c:v>331</c:v>
                </c:pt>
                <c:pt idx="399">
                  <c:v>325</c:v>
                </c:pt>
                <c:pt idx="400">
                  <c:v>145</c:v>
                </c:pt>
                <c:pt idx="401">
                  <c:v>140</c:v>
                </c:pt>
                <c:pt idx="402">
                  <c:v>349</c:v>
                </c:pt>
                <c:pt idx="403">
                  <c:v>384</c:v>
                </c:pt>
                <c:pt idx="404">
                  <c:v>145</c:v>
                </c:pt>
                <c:pt idx="405">
                  <c:v>220</c:v>
                </c:pt>
                <c:pt idx="406">
                  <c:v>160</c:v>
                </c:pt>
                <c:pt idx="407">
                  <c:v>145</c:v>
                </c:pt>
                <c:pt idx="408">
                  <c:v>335</c:v>
                </c:pt>
                <c:pt idx="409">
                  <c:v>516</c:v>
                </c:pt>
                <c:pt idx="410">
                  <c:v>145</c:v>
                </c:pt>
                <c:pt idx="411">
                  <c:v>212</c:v>
                </c:pt>
                <c:pt idx="412">
                  <c:v>388</c:v>
                </c:pt>
                <c:pt idx="413">
                  <c:v>349</c:v>
                </c:pt>
                <c:pt idx="414">
                  <c:v>300</c:v>
                </c:pt>
                <c:pt idx="415">
                  <c:v>120</c:v>
                </c:pt>
                <c:pt idx="416">
                  <c:v>177</c:v>
                </c:pt>
                <c:pt idx="417">
                  <c:v>145</c:v>
                </c:pt>
                <c:pt idx="418">
                  <c:v>349</c:v>
                </c:pt>
                <c:pt idx="419">
                  <c:v>424</c:v>
                </c:pt>
                <c:pt idx="420">
                  <c:v>135</c:v>
                </c:pt>
                <c:pt idx="421">
                  <c:v>135</c:v>
                </c:pt>
                <c:pt idx="422">
                  <c:v>359</c:v>
                </c:pt>
                <c:pt idx="423">
                  <c:v>335</c:v>
                </c:pt>
                <c:pt idx="424">
                  <c:v>286</c:v>
                </c:pt>
                <c:pt idx="425">
                  <c:v>142</c:v>
                </c:pt>
                <c:pt idx="426">
                  <c:v>283</c:v>
                </c:pt>
                <c:pt idx="427">
                  <c:v>147</c:v>
                </c:pt>
                <c:pt idx="428">
                  <c:v>426</c:v>
                </c:pt>
                <c:pt idx="429">
                  <c:v>335</c:v>
                </c:pt>
                <c:pt idx="430">
                  <c:v>179</c:v>
                </c:pt>
                <c:pt idx="431">
                  <c:v>144</c:v>
                </c:pt>
                <c:pt idx="432">
                  <c:v>283</c:v>
                </c:pt>
                <c:pt idx="433">
                  <c:v>139</c:v>
                </c:pt>
                <c:pt idx="434">
                  <c:v>335</c:v>
                </c:pt>
                <c:pt idx="435">
                  <c:v>135</c:v>
                </c:pt>
                <c:pt idx="436">
                  <c:v>142</c:v>
                </c:pt>
                <c:pt idx="437">
                  <c:v>167</c:v>
                </c:pt>
                <c:pt idx="438">
                  <c:v>331</c:v>
                </c:pt>
                <c:pt idx="439">
                  <c:v>325</c:v>
                </c:pt>
              </c:numCache>
            </c:numRef>
          </c:xVal>
          <c:yVal>
            <c:numRef>
              <c:f>'Special discount Scatter'!$B$2:$B$441</c:f>
              <c:numCache>
                <c:formatCode>0%</c:formatCode>
                <c:ptCount val="440"/>
                <c:pt idx="0">
                  <c:v>0.5</c:v>
                </c:pt>
                <c:pt idx="1">
                  <c:v>0.42</c:v>
                </c:pt>
                <c:pt idx="2">
                  <c:v>0.14000000000000001</c:v>
                </c:pt>
                <c:pt idx="3">
                  <c:v>0.22</c:v>
                </c:pt>
                <c:pt idx="4">
                  <c:v>0.69</c:v>
                </c:pt>
                <c:pt idx="5">
                  <c:v>0.66</c:v>
                </c:pt>
                <c:pt idx="6">
                  <c:v>0.83</c:v>
                </c:pt>
                <c:pt idx="7">
                  <c:v>0.48</c:v>
                </c:pt>
                <c:pt idx="8">
                  <c:v>0.14000000000000001</c:v>
                </c:pt>
                <c:pt idx="9">
                  <c:v>0.32</c:v>
                </c:pt>
                <c:pt idx="10">
                  <c:v>0.66</c:v>
                </c:pt>
                <c:pt idx="11">
                  <c:v>0.89</c:v>
                </c:pt>
                <c:pt idx="12">
                  <c:v>0.31</c:v>
                </c:pt>
                <c:pt idx="13">
                  <c:v>0.28999999999999998</c:v>
                </c:pt>
                <c:pt idx="14">
                  <c:v>0.88</c:v>
                </c:pt>
                <c:pt idx="15">
                  <c:v>0.55000000000000004</c:v>
                </c:pt>
                <c:pt idx="16">
                  <c:v>0.71</c:v>
                </c:pt>
                <c:pt idx="17">
                  <c:v>0.76</c:v>
                </c:pt>
                <c:pt idx="18">
                  <c:v>0.22</c:v>
                </c:pt>
                <c:pt idx="19">
                  <c:v>0.22</c:v>
                </c:pt>
                <c:pt idx="20">
                  <c:v>0.28000000000000003</c:v>
                </c:pt>
                <c:pt idx="21">
                  <c:v>0.66</c:v>
                </c:pt>
                <c:pt idx="22">
                  <c:v>0.15</c:v>
                </c:pt>
                <c:pt idx="23">
                  <c:v>0.2</c:v>
                </c:pt>
                <c:pt idx="24">
                  <c:v>0.37</c:v>
                </c:pt>
                <c:pt idx="25">
                  <c:v>0.77</c:v>
                </c:pt>
                <c:pt idx="26">
                  <c:v>0.87</c:v>
                </c:pt>
                <c:pt idx="27">
                  <c:v>0.48</c:v>
                </c:pt>
                <c:pt idx="28">
                  <c:v>0.25</c:v>
                </c:pt>
                <c:pt idx="29">
                  <c:v>0.14000000000000001</c:v>
                </c:pt>
                <c:pt idx="30">
                  <c:v>0.68</c:v>
                </c:pt>
                <c:pt idx="31">
                  <c:v>0.83</c:v>
                </c:pt>
                <c:pt idx="32">
                  <c:v>0.32</c:v>
                </c:pt>
                <c:pt idx="33">
                  <c:v>0.24</c:v>
                </c:pt>
                <c:pt idx="34">
                  <c:v>0.89</c:v>
                </c:pt>
                <c:pt idx="35">
                  <c:v>0.66</c:v>
                </c:pt>
                <c:pt idx="36">
                  <c:v>0.49</c:v>
                </c:pt>
                <c:pt idx="37">
                  <c:v>0.41</c:v>
                </c:pt>
                <c:pt idx="38">
                  <c:v>0.33</c:v>
                </c:pt>
                <c:pt idx="39">
                  <c:v>0.06</c:v>
                </c:pt>
                <c:pt idx="40">
                  <c:v>0.7</c:v>
                </c:pt>
                <c:pt idx="41">
                  <c:v>0.49</c:v>
                </c:pt>
                <c:pt idx="42">
                  <c:v>0.14000000000000001</c:v>
                </c:pt>
                <c:pt idx="43">
                  <c:v>0.22</c:v>
                </c:pt>
                <c:pt idx="44">
                  <c:v>0.43</c:v>
                </c:pt>
                <c:pt idx="45">
                  <c:v>0.7</c:v>
                </c:pt>
                <c:pt idx="46">
                  <c:v>0.43</c:v>
                </c:pt>
                <c:pt idx="47">
                  <c:v>0.37</c:v>
                </c:pt>
                <c:pt idx="48">
                  <c:v>0.14000000000000001</c:v>
                </c:pt>
                <c:pt idx="49">
                  <c:v>0.32</c:v>
                </c:pt>
                <c:pt idx="50">
                  <c:v>0.89</c:v>
                </c:pt>
                <c:pt idx="51">
                  <c:v>0.73</c:v>
                </c:pt>
                <c:pt idx="52">
                  <c:v>0.31</c:v>
                </c:pt>
                <c:pt idx="53">
                  <c:v>0.28999999999999998</c:v>
                </c:pt>
                <c:pt idx="54">
                  <c:v>0.45</c:v>
                </c:pt>
                <c:pt idx="55">
                  <c:v>0.71</c:v>
                </c:pt>
                <c:pt idx="56">
                  <c:v>0.51</c:v>
                </c:pt>
                <c:pt idx="57">
                  <c:v>0.57999999999999996</c:v>
                </c:pt>
                <c:pt idx="58">
                  <c:v>0.22</c:v>
                </c:pt>
                <c:pt idx="59">
                  <c:v>0.22</c:v>
                </c:pt>
                <c:pt idx="60">
                  <c:v>0.48</c:v>
                </c:pt>
                <c:pt idx="61">
                  <c:v>0.88</c:v>
                </c:pt>
                <c:pt idx="62">
                  <c:v>0.15</c:v>
                </c:pt>
                <c:pt idx="63">
                  <c:v>0.2</c:v>
                </c:pt>
                <c:pt idx="64">
                  <c:v>0.5</c:v>
                </c:pt>
                <c:pt idx="65">
                  <c:v>0.49</c:v>
                </c:pt>
                <c:pt idx="66">
                  <c:v>0.66</c:v>
                </c:pt>
                <c:pt idx="67">
                  <c:v>0.25</c:v>
                </c:pt>
                <c:pt idx="68">
                  <c:v>0.25</c:v>
                </c:pt>
                <c:pt idx="69">
                  <c:v>0.14000000000000001</c:v>
                </c:pt>
                <c:pt idx="70">
                  <c:v>0.59</c:v>
                </c:pt>
                <c:pt idx="71">
                  <c:v>0.3</c:v>
                </c:pt>
                <c:pt idx="72">
                  <c:v>0.32</c:v>
                </c:pt>
                <c:pt idx="73">
                  <c:v>0.24</c:v>
                </c:pt>
                <c:pt idx="74">
                  <c:v>0.88</c:v>
                </c:pt>
                <c:pt idx="75">
                  <c:v>0.48</c:v>
                </c:pt>
                <c:pt idx="76">
                  <c:v>0.5</c:v>
                </c:pt>
                <c:pt idx="77">
                  <c:v>0.25</c:v>
                </c:pt>
                <c:pt idx="78">
                  <c:v>0.33</c:v>
                </c:pt>
                <c:pt idx="79">
                  <c:v>0.06</c:v>
                </c:pt>
                <c:pt idx="80">
                  <c:v>0.66</c:v>
                </c:pt>
                <c:pt idx="81">
                  <c:v>0.83</c:v>
                </c:pt>
                <c:pt idx="82">
                  <c:v>0.14000000000000001</c:v>
                </c:pt>
                <c:pt idx="83">
                  <c:v>0.22</c:v>
                </c:pt>
                <c:pt idx="84">
                  <c:v>0.86</c:v>
                </c:pt>
                <c:pt idx="85">
                  <c:v>0.78</c:v>
                </c:pt>
                <c:pt idx="86">
                  <c:v>0.75</c:v>
                </c:pt>
                <c:pt idx="87">
                  <c:v>0.54</c:v>
                </c:pt>
                <c:pt idx="88">
                  <c:v>0.14000000000000001</c:v>
                </c:pt>
                <c:pt idx="89">
                  <c:v>0.32</c:v>
                </c:pt>
                <c:pt idx="90">
                  <c:v>0.77</c:v>
                </c:pt>
                <c:pt idx="91">
                  <c:v>0.44</c:v>
                </c:pt>
                <c:pt idx="92">
                  <c:v>0.31</c:v>
                </c:pt>
                <c:pt idx="93">
                  <c:v>0.28999999999999998</c:v>
                </c:pt>
                <c:pt idx="94">
                  <c:v>0.64</c:v>
                </c:pt>
                <c:pt idx="95">
                  <c:v>0.5</c:v>
                </c:pt>
                <c:pt idx="96">
                  <c:v>0.26</c:v>
                </c:pt>
                <c:pt idx="97">
                  <c:v>0.72</c:v>
                </c:pt>
                <c:pt idx="98">
                  <c:v>0.22</c:v>
                </c:pt>
                <c:pt idx="99">
                  <c:v>0.22</c:v>
                </c:pt>
                <c:pt idx="100">
                  <c:v>0.63</c:v>
                </c:pt>
                <c:pt idx="101">
                  <c:v>0.5</c:v>
                </c:pt>
                <c:pt idx="102">
                  <c:v>0.15</c:v>
                </c:pt>
                <c:pt idx="103">
                  <c:v>0.2</c:v>
                </c:pt>
                <c:pt idx="104">
                  <c:v>0.23</c:v>
                </c:pt>
                <c:pt idx="105">
                  <c:v>0.63</c:v>
                </c:pt>
                <c:pt idx="106">
                  <c:v>0.63</c:v>
                </c:pt>
                <c:pt idx="107">
                  <c:v>0.71</c:v>
                </c:pt>
                <c:pt idx="108">
                  <c:v>0.25</c:v>
                </c:pt>
                <c:pt idx="109">
                  <c:v>0.14000000000000001</c:v>
                </c:pt>
                <c:pt idx="110">
                  <c:v>0.65</c:v>
                </c:pt>
                <c:pt idx="111">
                  <c:v>0.73</c:v>
                </c:pt>
                <c:pt idx="112">
                  <c:v>0.32</c:v>
                </c:pt>
                <c:pt idx="113">
                  <c:v>0.24</c:v>
                </c:pt>
                <c:pt idx="114">
                  <c:v>0.43</c:v>
                </c:pt>
                <c:pt idx="115">
                  <c:v>0.82</c:v>
                </c:pt>
                <c:pt idx="116">
                  <c:v>0.81</c:v>
                </c:pt>
                <c:pt idx="117">
                  <c:v>0.56999999999999995</c:v>
                </c:pt>
                <c:pt idx="118">
                  <c:v>0.33</c:v>
                </c:pt>
                <c:pt idx="119">
                  <c:v>0.06</c:v>
                </c:pt>
                <c:pt idx="120">
                  <c:v>0.53</c:v>
                </c:pt>
                <c:pt idx="121">
                  <c:v>0.71</c:v>
                </c:pt>
                <c:pt idx="122">
                  <c:v>0.14000000000000001</c:v>
                </c:pt>
                <c:pt idx="123">
                  <c:v>0.22</c:v>
                </c:pt>
                <c:pt idx="124">
                  <c:v>0.77</c:v>
                </c:pt>
                <c:pt idx="125">
                  <c:v>0.47</c:v>
                </c:pt>
                <c:pt idx="126">
                  <c:v>0.47</c:v>
                </c:pt>
                <c:pt idx="127">
                  <c:v>0.74</c:v>
                </c:pt>
                <c:pt idx="128">
                  <c:v>0.14000000000000001</c:v>
                </c:pt>
                <c:pt idx="129">
                  <c:v>0.32</c:v>
                </c:pt>
                <c:pt idx="130">
                  <c:v>0.85</c:v>
                </c:pt>
                <c:pt idx="131">
                  <c:v>0.64</c:v>
                </c:pt>
                <c:pt idx="132">
                  <c:v>0.31</c:v>
                </c:pt>
                <c:pt idx="133">
                  <c:v>0.28999999999999998</c:v>
                </c:pt>
                <c:pt idx="134">
                  <c:v>0.51</c:v>
                </c:pt>
                <c:pt idx="135">
                  <c:v>0.71</c:v>
                </c:pt>
                <c:pt idx="136">
                  <c:v>0.63</c:v>
                </c:pt>
                <c:pt idx="137">
                  <c:v>0.77</c:v>
                </c:pt>
                <c:pt idx="138">
                  <c:v>0.22</c:v>
                </c:pt>
                <c:pt idx="139">
                  <c:v>0.22</c:v>
                </c:pt>
                <c:pt idx="140">
                  <c:v>0.71</c:v>
                </c:pt>
                <c:pt idx="141">
                  <c:v>0.69</c:v>
                </c:pt>
                <c:pt idx="142">
                  <c:v>0.15</c:v>
                </c:pt>
                <c:pt idx="143">
                  <c:v>0.2</c:v>
                </c:pt>
                <c:pt idx="144">
                  <c:v>0.44</c:v>
                </c:pt>
                <c:pt idx="145">
                  <c:v>0.87</c:v>
                </c:pt>
                <c:pt idx="146">
                  <c:v>0.75</c:v>
                </c:pt>
                <c:pt idx="147">
                  <c:v>0.81</c:v>
                </c:pt>
                <c:pt idx="148">
                  <c:v>0.25</c:v>
                </c:pt>
                <c:pt idx="149">
                  <c:v>0.14000000000000001</c:v>
                </c:pt>
                <c:pt idx="150">
                  <c:v>0.9</c:v>
                </c:pt>
                <c:pt idx="151">
                  <c:v>0.82</c:v>
                </c:pt>
                <c:pt idx="152">
                  <c:v>0.32</c:v>
                </c:pt>
                <c:pt idx="153">
                  <c:v>0.24</c:v>
                </c:pt>
                <c:pt idx="154">
                  <c:v>0.55000000000000004</c:v>
                </c:pt>
                <c:pt idx="155">
                  <c:v>0.61</c:v>
                </c:pt>
                <c:pt idx="156">
                  <c:v>0.62</c:v>
                </c:pt>
                <c:pt idx="157">
                  <c:v>0.77</c:v>
                </c:pt>
                <c:pt idx="158">
                  <c:v>0.33</c:v>
                </c:pt>
                <c:pt idx="159">
                  <c:v>0.06</c:v>
                </c:pt>
                <c:pt idx="160">
                  <c:v>0.61</c:v>
                </c:pt>
                <c:pt idx="161">
                  <c:v>0.75</c:v>
                </c:pt>
                <c:pt idx="162">
                  <c:v>0.14000000000000001</c:v>
                </c:pt>
                <c:pt idx="163">
                  <c:v>0.22</c:v>
                </c:pt>
                <c:pt idx="164">
                  <c:v>0.7</c:v>
                </c:pt>
                <c:pt idx="165">
                  <c:v>0.6</c:v>
                </c:pt>
                <c:pt idx="166">
                  <c:v>0.76</c:v>
                </c:pt>
                <c:pt idx="167">
                  <c:v>0.66</c:v>
                </c:pt>
                <c:pt idx="168">
                  <c:v>0.14000000000000001</c:v>
                </c:pt>
                <c:pt idx="169">
                  <c:v>0.32</c:v>
                </c:pt>
                <c:pt idx="170">
                  <c:v>0.73</c:v>
                </c:pt>
                <c:pt idx="171">
                  <c:v>0.24</c:v>
                </c:pt>
                <c:pt idx="172">
                  <c:v>0.31</c:v>
                </c:pt>
                <c:pt idx="173">
                  <c:v>0.28999999999999998</c:v>
                </c:pt>
                <c:pt idx="174">
                  <c:v>0.75</c:v>
                </c:pt>
                <c:pt idx="175">
                  <c:v>0.72</c:v>
                </c:pt>
                <c:pt idx="176">
                  <c:v>7.0000000000000007E-2</c:v>
                </c:pt>
                <c:pt idx="177">
                  <c:v>0.76</c:v>
                </c:pt>
                <c:pt idx="178">
                  <c:v>0.22</c:v>
                </c:pt>
                <c:pt idx="179">
                  <c:v>0.22</c:v>
                </c:pt>
                <c:pt idx="180">
                  <c:v>0.68</c:v>
                </c:pt>
                <c:pt idx="181">
                  <c:v>0.65</c:v>
                </c:pt>
                <c:pt idx="182">
                  <c:v>0.15</c:v>
                </c:pt>
                <c:pt idx="183">
                  <c:v>0.2</c:v>
                </c:pt>
                <c:pt idx="184">
                  <c:v>0.21</c:v>
                </c:pt>
                <c:pt idx="185">
                  <c:v>0.78</c:v>
                </c:pt>
                <c:pt idx="186">
                  <c:v>0.82</c:v>
                </c:pt>
                <c:pt idx="187">
                  <c:v>0.49</c:v>
                </c:pt>
                <c:pt idx="188">
                  <c:v>0.25</c:v>
                </c:pt>
                <c:pt idx="189">
                  <c:v>0.14000000000000001</c:v>
                </c:pt>
                <c:pt idx="190">
                  <c:v>0.56999999999999995</c:v>
                </c:pt>
                <c:pt idx="191">
                  <c:v>0.72</c:v>
                </c:pt>
                <c:pt idx="192">
                  <c:v>0.32</c:v>
                </c:pt>
                <c:pt idx="193">
                  <c:v>0.24</c:v>
                </c:pt>
                <c:pt idx="194">
                  <c:v>0.51</c:v>
                </c:pt>
                <c:pt idx="195">
                  <c:v>0.41</c:v>
                </c:pt>
                <c:pt idx="196">
                  <c:v>0.33</c:v>
                </c:pt>
                <c:pt idx="197">
                  <c:v>0.54</c:v>
                </c:pt>
                <c:pt idx="198">
                  <c:v>0.33</c:v>
                </c:pt>
                <c:pt idx="199">
                  <c:v>0.06</c:v>
                </c:pt>
                <c:pt idx="200">
                  <c:v>0.64</c:v>
                </c:pt>
                <c:pt idx="201">
                  <c:v>0.82</c:v>
                </c:pt>
                <c:pt idx="202">
                  <c:v>0.14000000000000001</c:v>
                </c:pt>
                <c:pt idx="203">
                  <c:v>0.22</c:v>
                </c:pt>
                <c:pt idx="204">
                  <c:v>0.72</c:v>
                </c:pt>
                <c:pt idx="205">
                  <c:v>0.68</c:v>
                </c:pt>
                <c:pt idx="206">
                  <c:v>0.47</c:v>
                </c:pt>
                <c:pt idx="207">
                  <c:v>0.5</c:v>
                </c:pt>
                <c:pt idx="208">
                  <c:v>0.14000000000000001</c:v>
                </c:pt>
                <c:pt idx="209">
                  <c:v>0.32</c:v>
                </c:pt>
                <c:pt idx="210">
                  <c:v>0.77</c:v>
                </c:pt>
                <c:pt idx="211">
                  <c:v>0.64</c:v>
                </c:pt>
                <c:pt idx="212">
                  <c:v>0.31</c:v>
                </c:pt>
                <c:pt idx="213">
                  <c:v>0.28999999999999998</c:v>
                </c:pt>
                <c:pt idx="214">
                  <c:v>0.48</c:v>
                </c:pt>
                <c:pt idx="215">
                  <c:v>0.72</c:v>
                </c:pt>
                <c:pt idx="216">
                  <c:v>0.66</c:v>
                </c:pt>
                <c:pt idx="217">
                  <c:v>0.77</c:v>
                </c:pt>
                <c:pt idx="218">
                  <c:v>0.22</c:v>
                </c:pt>
                <c:pt idx="219">
                  <c:v>0.22</c:v>
                </c:pt>
                <c:pt idx="220">
                  <c:v>0.71</c:v>
                </c:pt>
                <c:pt idx="221">
                  <c:v>0.7</c:v>
                </c:pt>
                <c:pt idx="222">
                  <c:v>0.15</c:v>
                </c:pt>
                <c:pt idx="223">
                  <c:v>0.2</c:v>
                </c:pt>
                <c:pt idx="224">
                  <c:v>0.72</c:v>
                </c:pt>
                <c:pt idx="225">
                  <c:v>0.69</c:v>
                </c:pt>
                <c:pt idx="226">
                  <c:v>0.75</c:v>
                </c:pt>
                <c:pt idx="227">
                  <c:v>0.84</c:v>
                </c:pt>
                <c:pt idx="228">
                  <c:v>0.25</c:v>
                </c:pt>
                <c:pt idx="229">
                  <c:v>0.14000000000000001</c:v>
                </c:pt>
                <c:pt idx="230">
                  <c:v>0.71</c:v>
                </c:pt>
                <c:pt idx="231">
                  <c:v>0.51</c:v>
                </c:pt>
                <c:pt idx="232">
                  <c:v>0.32</c:v>
                </c:pt>
                <c:pt idx="233">
                  <c:v>0.24</c:v>
                </c:pt>
                <c:pt idx="234">
                  <c:v>0.65</c:v>
                </c:pt>
                <c:pt idx="235">
                  <c:v>0.72</c:v>
                </c:pt>
                <c:pt idx="236">
                  <c:v>0.43</c:v>
                </c:pt>
                <c:pt idx="237">
                  <c:v>0.67</c:v>
                </c:pt>
                <c:pt idx="238">
                  <c:v>0.33</c:v>
                </c:pt>
                <c:pt idx="239">
                  <c:v>0.06</c:v>
                </c:pt>
                <c:pt idx="240">
                  <c:v>0.56999999999999995</c:v>
                </c:pt>
                <c:pt idx="241">
                  <c:v>0.87</c:v>
                </c:pt>
                <c:pt idx="242">
                  <c:v>0.77</c:v>
                </c:pt>
                <c:pt idx="243">
                  <c:v>0.22</c:v>
                </c:pt>
                <c:pt idx="244">
                  <c:v>0.26</c:v>
                </c:pt>
                <c:pt idx="245">
                  <c:v>0.6</c:v>
                </c:pt>
                <c:pt idx="246">
                  <c:v>0.5</c:v>
                </c:pt>
                <c:pt idx="247">
                  <c:v>0.27</c:v>
                </c:pt>
                <c:pt idx="248">
                  <c:v>0.14000000000000001</c:v>
                </c:pt>
                <c:pt idx="249">
                  <c:v>0.32</c:v>
                </c:pt>
                <c:pt idx="250">
                  <c:v>0.35</c:v>
                </c:pt>
                <c:pt idx="251">
                  <c:v>0.2</c:v>
                </c:pt>
                <c:pt idx="252">
                  <c:v>0.31</c:v>
                </c:pt>
                <c:pt idx="253">
                  <c:v>0.28999999999999998</c:v>
                </c:pt>
                <c:pt idx="254">
                  <c:v>0.6</c:v>
                </c:pt>
                <c:pt idx="255">
                  <c:v>0.28000000000000003</c:v>
                </c:pt>
                <c:pt idx="256">
                  <c:v>0.64</c:v>
                </c:pt>
                <c:pt idx="257">
                  <c:v>0.31</c:v>
                </c:pt>
                <c:pt idx="258">
                  <c:v>0.22</c:v>
                </c:pt>
                <c:pt idx="259">
                  <c:v>0.22</c:v>
                </c:pt>
                <c:pt idx="260">
                  <c:v>0.32</c:v>
                </c:pt>
                <c:pt idx="261">
                  <c:v>0.28999999999999998</c:v>
                </c:pt>
                <c:pt idx="262">
                  <c:v>0.15</c:v>
                </c:pt>
                <c:pt idx="263">
                  <c:v>0.2</c:v>
                </c:pt>
                <c:pt idx="264">
                  <c:v>0.22</c:v>
                </c:pt>
                <c:pt idx="265">
                  <c:v>0.57999999999999996</c:v>
                </c:pt>
                <c:pt idx="266">
                  <c:v>0.56999999999999995</c:v>
                </c:pt>
                <c:pt idx="267">
                  <c:v>0.65</c:v>
                </c:pt>
                <c:pt idx="268">
                  <c:v>0.25</c:v>
                </c:pt>
                <c:pt idx="269">
                  <c:v>0.14000000000000001</c:v>
                </c:pt>
                <c:pt idx="270">
                  <c:v>0.49</c:v>
                </c:pt>
                <c:pt idx="271">
                  <c:v>0.82</c:v>
                </c:pt>
                <c:pt idx="272">
                  <c:v>0.32</c:v>
                </c:pt>
                <c:pt idx="273">
                  <c:v>0.24</c:v>
                </c:pt>
                <c:pt idx="274">
                  <c:v>0.62</c:v>
                </c:pt>
                <c:pt idx="275">
                  <c:v>0.69</c:v>
                </c:pt>
                <c:pt idx="276">
                  <c:v>0.73</c:v>
                </c:pt>
                <c:pt idx="277">
                  <c:v>0.51</c:v>
                </c:pt>
                <c:pt idx="278">
                  <c:v>0.33</c:v>
                </c:pt>
                <c:pt idx="279">
                  <c:v>0.06</c:v>
                </c:pt>
                <c:pt idx="280">
                  <c:v>0.2</c:v>
                </c:pt>
                <c:pt idx="281">
                  <c:v>0.36</c:v>
                </c:pt>
                <c:pt idx="282">
                  <c:v>0.65</c:v>
                </c:pt>
                <c:pt idx="283">
                  <c:v>0.22</c:v>
                </c:pt>
                <c:pt idx="284">
                  <c:v>0.86</c:v>
                </c:pt>
                <c:pt idx="285">
                  <c:v>0.14000000000000001</c:v>
                </c:pt>
                <c:pt idx="286">
                  <c:v>0.7</c:v>
                </c:pt>
                <c:pt idx="287">
                  <c:v>0.49</c:v>
                </c:pt>
                <c:pt idx="288">
                  <c:v>0.14000000000000001</c:v>
                </c:pt>
                <c:pt idx="289">
                  <c:v>0.32</c:v>
                </c:pt>
                <c:pt idx="290">
                  <c:v>0.66</c:v>
                </c:pt>
                <c:pt idx="291">
                  <c:v>0.62</c:v>
                </c:pt>
                <c:pt idx="292">
                  <c:v>0.31</c:v>
                </c:pt>
                <c:pt idx="293">
                  <c:v>0.28999999999999998</c:v>
                </c:pt>
                <c:pt idx="294">
                  <c:v>0.66</c:v>
                </c:pt>
                <c:pt idx="295">
                  <c:v>0.67</c:v>
                </c:pt>
                <c:pt idx="296">
                  <c:v>0.41</c:v>
                </c:pt>
                <c:pt idx="297">
                  <c:v>0.44</c:v>
                </c:pt>
                <c:pt idx="298">
                  <c:v>0.22</c:v>
                </c:pt>
                <c:pt idx="299">
                  <c:v>0.22</c:v>
                </c:pt>
                <c:pt idx="300">
                  <c:v>0.63</c:v>
                </c:pt>
                <c:pt idx="301">
                  <c:v>0.41</c:v>
                </c:pt>
                <c:pt idx="302">
                  <c:v>0.15</c:v>
                </c:pt>
                <c:pt idx="303">
                  <c:v>0.2</c:v>
                </c:pt>
                <c:pt idx="304">
                  <c:v>0.27</c:v>
                </c:pt>
                <c:pt idx="305">
                  <c:v>0.66</c:v>
                </c:pt>
                <c:pt idx="306">
                  <c:v>0.72</c:v>
                </c:pt>
                <c:pt idx="307">
                  <c:v>0.72</c:v>
                </c:pt>
                <c:pt idx="308">
                  <c:v>0.25</c:v>
                </c:pt>
                <c:pt idx="309">
                  <c:v>0.14000000000000001</c:v>
                </c:pt>
                <c:pt idx="310">
                  <c:v>0.71</c:v>
                </c:pt>
                <c:pt idx="311">
                  <c:v>0.73</c:v>
                </c:pt>
                <c:pt idx="312">
                  <c:v>0.32</c:v>
                </c:pt>
                <c:pt idx="313">
                  <c:v>0.24</c:v>
                </c:pt>
                <c:pt idx="314">
                  <c:v>0.73</c:v>
                </c:pt>
                <c:pt idx="315">
                  <c:v>0.73</c:v>
                </c:pt>
                <c:pt idx="316">
                  <c:v>0.71</c:v>
                </c:pt>
                <c:pt idx="317">
                  <c:v>0.71</c:v>
                </c:pt>
                <c:pt idx="318">
                  <c:v>0.33</c:v>
                </c:pt>
                <c:pt idx="319">
                  <c:v>0.06</c:v>
                </c:pt>
                <c:pt idx="320">
                  <c:v>0.7</c:v>
                </c:pt>
                <c:pt idx="321">
                  <c:v>0.7</c:v>
                </c:pt>
                <c:pt idx="322">
                  <c:v>0.81</c:v>
                </c:pt>
                <c:pt idx="323">
                  <c:v>0.22</c:v>
                </c:pt>
                <c:pt idx="324">
                  <c:v>0.57999999999999996</c:v>
                </c:pt>
                <c:pt idx="325">
                  <c:v>0.31</c:v>
                </c:pt>
                <c:pt idx="326">
                  <c:v>0.64</c:v>
                </c:pt>
                <c:pt idx="327">
                  <c:v>0.31</c:v>
                </c:pt>
                <c:pt idx="328">
                  <c:v>0.14000000000000001</c:v>
                </c:pt>
                <c:pt idx="329">
                  <c:v>0.32</c:v>
                </c:pt>
                <c:pt idx="330">
                  <c:v>0.51</c:v>
                </c:pt>
                <c:pt idx="331">
                  <c:v>0.51</c:v>
                </c:pt>
                <c:pt idx="332">
                  <c:v>0.31</c:v>
                </c:pt>
                <c:pt idx="333">
                  <c:v>0.28999999999999998</c:v>
                </c:pt>
                <c:pt idx="334">
                  <c:v>0.71</c:v>
                </c:pt>
                <c:pt idx="335">
                  <c:v>0.63</c:v>
                </c:pt>
                <c:pt idx="336">
                  <c:v>0.27</c:v>
                </c:pt>
                <c:pt idx="337">
                  <c:v>0.68</c:v>
                </c:pt>
                <c:pt idx="338">
                  <c:v>0.22</c:v>
                </c:pt>
                <c:pt idx="339">
                  <c:v>0.22</c:v>
                </c:pt>
                <c:pt idx="340">
                  <c:v>0.28000000000000003</c:v>
                </c:pt>
                <c:pt idx="341">
                  <c:v>0.63</c:v>
                </c:pt>
                <c:pt idx="342">
                  <c:v>0.15</c:v>
                </c:pt>
                <c:pt idx="343">
                  <c:v>0.2</c:v>
                </c:pt>
                <c:pt idx="344">
                  <c:v>0.51</c:v>
                </c:pt>
                <c:pt idx="345">
                  <c:v>0.65</c:v>
                </c:pt>
                <c:pt idx="346">
                  <c:v>0.57999999999999996</c:v>
                </c:pt>
                <c:pt idx="347">
                  <c:v>0.7</c:v>
                </c:pt>
                <c:pt idx="348">
                  <c:v>0.25</c:v>
                </c:pt>
                <c:pt idx="349">
                  <c:v>0.14000000000000001</c:v>
                </c:pt>
                <c:pt idx="350">
                  <c:v>0.59</c:v>
                </c:pt>
                <c:pt idx="351">
                  <c:v>0.66</c:v>
                </c:pt>
                <c:pt idx="352">
                  <c:v>0.32</c:v>
                </c:pt>
                <c:pt idx="353">
                  <c:v>0.24</c:v>
                </c:pt>
                <c:pt idx="354">
                  <c:v>0.56999999999999995</c:v>
                </c:pt>
                <c:pt idx="355">
                  <c:v>0.51</c:v>
                </c:pt>
                <c:pt idx="356">
                  <c:v>0.6</c:v>
                </c:pt>
                <c:pt idx="357">
                  <c:v>0.51</c:v>
                </c:pt>
                <c:pt idx="358">
                  <c:v>0.33</c:v>
                </c:pt>
                <c:pt idx="359">
                  <c:v>0.06</c:v>
                </c:pt>
                <c:pt idx="360">
                  <c:v>0.51</c:v>
                </c:pt>
                <c:pt idx="361">
                  <c:v>0.64</c:v>
                </c:pt>
                <c:pt idx="362">
                  <c:v>0.22</c:v>
                </c:pt>
                <c:pt idx="363">
                  <c:v>0.14000000000000001</c:v>
                </c:pt>
                <c:pt idx="364">
                  <c:v>0.51</c:v>
                </c:pt>
                <c:pt idx="365">
                  <c:v>0.69</c:v>
                </c:pt>
                <c:pt idx="366">
                  <c:v>0.59</c:v>
                </c:pt>
                <c:pt idx="367">
                  <c:v>0.63</c:v>
                </c:pt>
                <c:pt idx="368">
                  <c:v>0.32</c:v>
                </c:pt>
                <c:pt idx="369">
                  <c:v>0.31</c:v>
                </c:pt>
                <c:pt idx="370">
                  <c:v>0.51</c:v>
                </c:pt>
                <c:pt idx="371">
                  <c:v>0.64</c:v>
                </c:pt>
                <c:pt idx="372">
                  <c:v>0.28999999999999998</c:v>
                </c:pt>
                <c:pt idx="373">
                  <c:v>0.22</c:v>
                </c:pt>
                <c:pt idx="374">
                  <c:v>0.72</c:v>
                </c:pt>
                <c:pt idx="375">
                  <c:v>0.84</c:v>
                </c:pt>
                <c:pt idx="376">
                  <c:v>0.7</c:v>
                </c:pt>
                <c:pt idx="377">
                  <c:v>0.51</c:v>
                </c:pt>
                <c:pt idx="378">
                  <c:v>0.22</c:v>
                </c:pt>
                <c:pt idx="379">
                  <c:v>0.15</c:v>
                </c:pt>
                <c:pt idx="380">
                  <c:v>0.76</c:v>
                </c:pt>
                <c:pt idx="381">
                  <c:v>0.72</c:v>
                </c:pt>
                <c:pt idx="382">
                  <c:v>0.2</c:v>
                </c:pt>
                <c:pt idx="383">
                  <c:v>0.25</c:v>
                </c:pt>
                <c:pt idx="384">
                  <c:v>0.63</c:v>
                </c:pt>
                <c:pt idx="385">
                  <c:v>0.71</c:v>
                </c:pt>
                <c:pt idx="386">
                  <c:v>0.71</c:v>
                </c:pt>
                <c:pt idx="387">
                  <c:v>0.75</c:v>
                </c:pt>
                <c:pt idx="388">
                  <c:v>0.14000000000000001</c:v>
                </c:pt>
                <c:pt idx="389">
                  <c:v>0.32</c:v>
                </c:pt>
                <c:pt idx="390">
                  <c:v>0.55000000000000004</c:v>
                </c:pt>
                <c:pt idx="391">
                  <c:v>0.71</c:v>
                </c:pt>
                <c:pt idx="392">
                  <c:v>0.71</c:v>
                </c:pt>
                <c:pt idx="393">
                  <c:v>0.72</c:v>
                </c:pt>
                <c:pt idx="394">
                  <c:v>0.24</c:v>
                </c:pt>
                <c:pt idx="395">
                  <c:v>0.72</c:v>
                </c:pt>
                <c:pt idx="396">
                  <c:v>0.59</c:v>
                </c:pt>
                <c:pt idx="397">
                  <c:v>0.66</c:v>
                </c:pt>
                <c:pt idx="398">
                  <c:v>0.33</c:v>
                </c:pt>
                <c:pt idx="399">
                  <c:v>0.06</c:v>
                </c:pt>
                <c:pt idx="400">
                  <c:v>0.51</c:v>
                </c:pt>
                <c:pt idx="401">
                  <c:v>0.64</c:v>
                </c:pt>
                <c:pt idx="402">
                  <c:v>0.22</c:v>
                </c:pt>
                <c:pt idx="403">
                  <c:v>0.14000000000000001</c:v>
                </c:pt>
                <c:pt idx="404">
                  <c:v>0.51</c:v>
                </c:pt>
                <c:pt idx="405">
                  <c:v>0.77</c:v>
                </c:pt>
                <c:pt idx="406">
                  <c:v>0.59</c:v>
                </c:pt>
                <c:pt idx="407">
                  <c:v>0.63</c:v>
                </c:pt>
                <c:pt idx="408">
                  <c:v>0.32</c:v>
                </c:pt>
                <c:pt idx="409">
                  <c:v>0.31</c:v>
                </c:pt>
                <c:pt idx="410">
                  <c:v>0.51</c:v>
                </c:pt>
                <c:pt idx="411">
                  <c:v>0.69</c:v>
                </c:pt>
                <c:pt idx="412">
                  <c:v>0.28999999999999998</c:v>
                </c:pt>
                <c:pt idx="413">
                  <c:v>0.22</c:v>
                </c:pt>
                <c:pt idx="414">
                  <c:v>0.72</c:v>
                </c:pt>
                <c:pt idx="415">
                  <c:v>0.84</c:v>
                </c:pt>
                <c:pt idx="416">
                  <c:v>0.7</c:v>
                </c:pt>
                <c:pt idx="417">
                  <c:v>0.51</c:v>
                </c:pt>
                <c:pt idx="418">
                  <c:v>0.22</c:v>
                </c:pt>
                <c:pt idx="419">
                  <c:v>0.15</c:v>
                </c:pt>
                <c:pt idx="420">
                  <c:v>0.76</c:v>
                </c:pt>
                <c:pt idx="421">
                  <c:v>0.72</c:v>
                </c:pt>
                <c:pt idx="422">
                  <c:v>0.2</c:v>
                </c:pt>
                <c:pt idx="423">
                  <c:v>0.25</c:v>
                </c:pt>
                <c:pt idx="424">
                  <c:v>0.63</c:v>
                </c:pt>
                <c:pt idx="425">
                  <c:v>0.71</c:v>
                </c:pt>
                <c:pt idx="426">
                  <c:v>0.71</c:v>
                </c:pt>
                <c:pt idx="427">
                  <c:v>0.75</c:v>
                </c:pt>
                <c:pt idx="428">
                  <c:v>0.14000000000000001</c:v>
                </c:pt>
                <c:pt idx="429">
                  <c:v>0.32</c:v>
                </c:pt>
                <c:pt idx="430">
                  <c:v>0.55000000000000004</c:v>
                </c:pt>
                <c:pt idx="431">
                  <c:v>0.71</c:v>
                </c:pt>
                <c:pt idx="432">
                  <c:v>0.71</c:v>
                </c:pt>
                <c:pt idx="433">
                  <c:v>0.72</c:v>
                </c:pt>
                <c:pt idx="434">
                  <c:v>0.24</c:v>
                </c:pt>
                <c:pt idx="435">
                  <c:v>0.72</c:v>
                </c:pt>
                <c:pt idx="436">
                  <c:v>0.59</c:v>
                </c:pt>
                <c:pt idx="437">
                  <c:v>0.66</c:v>
                </c:pt>
                <c:pt idx="438">
                  <c:v>0.33</c:v>
                </c:pt>
                <c:pt idx="439">
                  <c:v>0.06</c:v>
                </c:pt>
              </c:numCache>
            </c:numRef>
          </c:yVal>
          <c:smooth val="0"/>
          <c:extLst>
            <c:ext xmlns:c16="http://schemas.microsoft.com/office/drawing/2014/chart" uri="{C3380CC4-5D6E-409C-BE32-E72D297353CC}">
              <c16:uniqueId val="{00000000-274F-4F57-8047-7A4BC2EB35E4}"/>
            </c:ext>
          </c:extLst>
        </c:ser>
        <c:dLbls>
          <c:showLegendKey val="0"/>
          <c:showVal val="0"/>
          <c:showCatName val="0"/>
          <c:showSerName val="0"/>
          <c:showPercent val="0"/>
          <c:showBubbleSize val="0"/>
        </c:dLbls>
        <c:axId val="17537488"/>
        <c:axId val="17522608"/>
      </c:scatterChart>
      <c:valAx>
        <c:axId val="1753748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2608"/>
        <c:crosses val="autoZero"/>
        <c:crossBetween val="midCat"/>
        <c:majorUnit val="100"/>
      </c:valAx>
      <c:valAx>
        <c:axId val="17522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748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[plant_url.xlsx]Plant OriginalPrice vs SpecialP!PivotTable11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400" b="0"/>
              <a:t>Original</a:t>
            </a:r>
            <a:r>
              <a:rPr lang="en-IN"/>
              <a:t> </a:t>
            </a:r>
            <a:r>
              <a:rPr lang="en-IN" sz="1400" b="0"/>
              <a:t>Price</a:t>
            </a:r>
            <a:r>
              <a:rPr lang="en-IN" baseline="0"/>
              <a:t> </a:t>
            </a:r>
            <a:r>
              <a:rPr lang="en-IN" sz="1400" b="0" baseline="0"/>
              <a:t>VS</a:t>
            </a:r>
            <a:r>
              <a:rPr lang="en-IN" baseline="0"/>
              <a:t> </a:t>
            </a:r>
            <a:r>
              <a:rPr lang="en-IN" sz="1400" b="0" baseline="0"/>
              <a:t>Special</a:t>
            </a:r>
            <a:r>
              <a:rPr lang="en-IN" baseline="0"/>
              <a:t> </a:t>
            </a:r>
            <a:r>
              <a:rPr lang="en-IN" sz="1400" b="0" baseline="0"/>
              <a:t>Price</a:t>
            </a:r>
            <a:endParaRPr lang="en-IN" sz="1400" b="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'Plant OriginalPrice vs SpecialP'!$B$3</c:f>
              <c:strCache>
                <c:ptCount val="1"/>
                <c:pt idx="0">
                  <c:v>Sum of ORIGINAL PRICE</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'Plant OriginalPrice vs SpecialP'!$A$4:$A$9</c:f>
              <c:strCache>
                <c:ptCount val="5"/>
                <c:pt idx="0">
                  <c:v>ABEFARIYA Areca Palm</c:v>
                </c:pt>
                <c:pt idx="1">
                  <c:v>Cloud Farm Clove Plant</c:v>
                </c:pt>
                <c:pt idx="2">
                  <c:v>UGAOO Golden Money Plant</c:v>
                </c:pt>
                <c:pt idx="3">
                  <c:v>UGAOO Jade Plant</c:v>
                </c:pt>
                <c:pt idx="4">
                  <c:v>UGAOO Variegated Money Plant</c:v>
                </c:pt>
              </c:strCache>
            </c:strRef>
          </c:cat>
          <c:val>
            <c:numRef>
              <c:f>'Plant OriginalPrice vs SpecialP'!$B$4:$B$9</c:f>
              <c:numCache>
                <c:formatCode>0.00</c:formatCode>
                <c:ptCount val="5"/>
                <c:pt idx="0">
                  <c:v>9443</c:v>
                </c:pt>
                <c:pt idx="1">
                  <c:v>10125</c:v>
                </c:pt>
                <c:pt idx="2">
                  <c:v>14817</c:v>
                </c:pt>
                <c:pt idx="3">
                  <c:v>44418</c:v>
                </c:pt>
                <c:pt idx="4">
                  <c:v>17467</c:v>
                </c:pt>
              </c:numCache>
            </c:numRef>
          </c:val>
          <c:extLst>
            <c:ext xmlns:c16="http://schemas.microsoft.com/office/drawing/2014/chart" uri="{C3380CC4-5D6E-409C-BE32-E72D297353CC}">
              <c16:uniqueId val="{00000000-1CC2-496D-AD96-4E4327192179}"/>
            </c:ext>
          </c:extLst>
        </c:ser>
        <c:ser>
          <c:idx val="1"/>
          <c:order val="1"/>
          <c:tx>
            <c:strRef>
              <c:f>'Plant OriginalPrice vs SpecialP'!$C$3</c:f>
              <c:strCache>
                <c:ptCount val="1"/>
                <c:pt idx="0">
                  <c:v>Sum of SPECIAL PRICE</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'Plant OriginalPrice vs SpecialP'!$A$4:$A$9</c:f>
              <c:strCache>
                <c:ptCount val="5"/>
                <c:pt idx="0">
                  <c:v>ABEFARIYA Areca Palm</c:v>
                </c:pt>
                <c:pt idx="1">
                  <c:v>Cloud Farm Clove Plant</c:v>
                </c:pt>
                <c:pt idx="2">
                  <c:v>UGAOO Golden Money Plant</c:v>
                </c:pt>
                <c:pt idx="3">
                  <c:v>UGAOO Jade Plant</c:v>
                </c:pt>
                <c:pt idx="4">
                  <c:v>UGAOO Variegated Money Plant</c:v>
                </c:pt>
              </c:strCache>
            </c:strRef>
          </c:cat>
          <c:val>
            <c:numRef>
              <c:f>'Plant OriginalPrice vs SpecialP'!$C$4:$C$9</c:f>
              <c:numCache>
                <c:formatCode>0.00</c:formatCode>
                <c:ptCount val="5"/>
                <c:pt idx="0">
                  <c:v>1098</c:v>
                </c:pt>
                <c:pt idx="1">
                  <c:v>3729</c:v>
                </c:pt>
                <c:pt idx="2">
                  <c:v>11517</c:v>
                </c:pt>
                <c:pt idx="3">
                  <c:v>33297</c:v>
                </c:pt>
                <c:pt idx="4">
                  <c:v>14162</c:v>
                </c:pt>
              </c:numCache>
            </c:numRef>
          </c:val>
          <c:extLst>
            <c:ext xmlns:c16="http://schemas.microsoft.com/office/drawing/2014/chart" uri="{C3380CC4-5D6E-409C-BE32-E72D297353CC}">
              <c16:uniqueId val="{00000000-25B9-413A-A585-C9F9BC6C24D2}"/>
            </c:ext>
          </c:extLst>
        </c:ser>
        <c:dLbls>
          <c:dLblPos val="outEnd"/>
          <c:showLegendKey val="0"/>
          <c:showVal val="1"/>
          <c:showCatName val="0"/>
          <c:showSerName val="0"/>
          <c:showPercent val="0"/>
          <c:showBubbleSize val="0"/>
        </c:dLbls>
        <c:gapWidth val="100"/>
        <c:overlap val="-24"/>
        <c:axId val="17535568"/>
        <c:axId val="17539888"/>
      </c:barChart>
      <c:catAx>
        <c:axId val="1753556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539888"/>
        <c:crosses val="autoZero"/>
        <c:auto val="1"/>
        <c:lblAlgn val="ctr"/>
        <c:lblOffset val="100"/>
        <c:noMultiLvlLbl val="0"/>
      </c:catAx>
      <c:valAx>
        <c:axId val="17539888"/>
        <c:scaling>
          <c:orientation val="minMax"/>
          <c:min val="100"/>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535568"/>
        <c:crosses val="autoZero"/>
        <c:crossBetween val="between"/>
        <c:dispUnits>
          <c:builtInUnit val="hundreds"/>
          <c:dispUnitsLbl>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[plant_url.xlsx]Pivot Product specialprice!PivotTable12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latin typeface="+mn-lt"/>
              </a:rPr>
              <a:t>Plant</a:t>
            </a:r>
            <a:r>
              <a:rPr lang="en-IN" baseline="0">
                <a:latin typeface="Cascadia Mono" panose="020B0609020000020004" pitchFamily="49" charset="0"/>
              </a:rPr>
              <a:t> </a:t>
            </a:r>
            <a:r>
              <a:rPr lang="en-IN" baseline="0">
                <a:latin typeface="Calibri" panose="020F0502020204030204" pitchFamily="34" charset="0"/>
                <a:ea typeface="Calibri" panose="020F0502020204030204" pitchFamily="34" charset="0"/>
                <a:cs typeface="Calibri" panose="020F0502020204030204" pitchFamily="34" charset="0"/>
              </a:rPr>
              <a:t>Special</a:t>
            </a:r>
            <a:r>
              <a:rPr lang="en-IN" baseline="0">
                <a:latin typeface="Cascadia Mono" panose="020B0609020000020004" pitchFamily="49" charset="0"/>
                <a:ea typeface="+mn-ea"/>
                <a:cs typeface="+mn-cs"/>
              </a:rPr>
              <a:t> </a:t>
            </a:r>
            <a:r>
              <a:rPr lang="en-IN" baseline="0">
                <a:latin typeface="+mn-lt"/>
              </a:rPr>
              <a:t>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Product specialprice'!$B$3</c:f>
              <c:strCache>
                <c:ptCount val="1"/>
                <c:pt idx="0">
                  <c:v>Total</c:v>
                </c:pt>
              </c:strCache>
            </c:strRef>
          </c:tx>
          <c:spPr>
            <a:solidFill>
              <a:schemeClr val="accent6"/>
            </a:solidFill>
            <a:ln>
              <a:noFill/>
            </a:ln>
            <a:effectLst/>
          </c:spPr>
          <c:invertIfNegative val="0"/>
          <c:cat>
            <c:strRef>
              <c:f>'Pivot Product specialprice'!$A$4:$A$14</c:f>
              <c:strCache>
                <c:ptCount val="10"/>
                <c:pt idx="0">
                  <c:v>ABEFARIYA Areca Palm</c:v>
                </c:pt>
                <c:pt idx="1">
                  <c:v>Cloud Farm Clove Plant</c:v>
                </c:pt>
                <c:pt idx="2">
                  <c:v>Cloud Farm Grapes Plant</c:v>
                </c:pt>
                <c:pt idx="3">
                  <c:v>FarmStorey Echeveria Plant, Sedum Plant</c:v>
                </c:pt>
                <c:pt idx="4">
                  <c:v>Mohomaya Hibiscus Plant</c:v>
                </c:pt>
                <c:pt idx="5">
                  <c:v>UGAOO Golden Money Plant</c:v>
                </c:pt>
                <c:pt idx="6">
                  <c:v>UGAOO Jade Plant</c:v>
                </c:pt>
                <c:pt idx="7">
                  <c:v>UGAOO Jade Plant, Variegated Money Plant, Golden Money ...</c:v>
                </c:pt>
                <c:pt idx="8">
                  <c:v>UGAOO Njoy Money Plant</c:v>
                </c:pt>
                <c:pt idx="9">
                  <c:v>UGAOO Variegated Money Plant</c:v>
                </c:pt>
              </c:strCache>
            </c:strRef>
          </c:cat>
          <c:val>
            <c:numRef>
              <c:f>'Pivot Product specialprice'!$B$4:$B$14</c:f>
              <c:numCache>
                <c:formatCode>0.00</c:formatCode>
                <c:ptCount val="10"/>
                <c:pt idx="0">
                  <c:v>1098</c:v>
                </c:pt>
                <c:pt idx="1">
                  <c:v>3729</c:v>
                </c:pt>
                <c:pt idx="2">
                  <c:v>1220</c:v>
                </c:pt>
                <c:pt idx="3">
                  <c:v>994</c:v>
                </c:pt>
                <c:pt idx="4">
                  <c:v>849</c:v>
                </c:pt>
                <c:pt idx="5">
                  <c:v>11517</c:v>
                </c:pt>
                <c:pt idx="6">
                  <c:v>33297</c:v>
                </c:pt>
                <c:pt idx="7">
                  <c:v>1011</c:v>
                </c:pt>
                <c:pt idx="8">
                  <c:v>4268</c:v>
                </c:pt>
                <c:pt idx="9">
                  <c:v>14162</c:v>
                </c:pt>
              </c:numCache>
            </c:numRef>
          </c:val>
          <c:extLst>
            <c:ext xmlns:c16="http://schemas.microsoft.com/office/drawing/2014/chart" uri="{C3380CC4-5D6E-409C-BE32-E72D297353CC}">
              <c16:uniqueId val="{00000000-D2E7-4A72-B2EC-744A03672411}"/>
            </c:ext>
          </c:extLst>
        </c:ser>
        <c:dLbls>
          <c:showLegendKey val="0"/>
          <c:showVal val="0"/>
          <c:showCatName val="0"/>
          <c:showSerName val="0"/>
          <c:showPercent val="0"/>
          <c:showBubbleSize val="0"/>
        </c:dLbls>
        <c:gapWidth val="150"/>
        <c:axId val="1732988064"/>
        <c:axId val="1732988544"/>
      </c:barChart>
      <c:catAx>
        <c:axId val="1732988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988544"/>
        <c:crosses val="autoZero"/>
        <c:auto val="1"/>
        <c:lblAlgn val="ctr"/>
        <c:lblOffset val="100"/>
        <c:noMultiLvlLbl val="0"/>
      </c:catAx>
      <c:valAx>
        <c:axId val="17329885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988064"/>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[plant_url.xlsx]Pivot Plantsize!PivotTable1</c:name>
    <c:fmtId val="1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a:t>Plant Size</a:t>
            </a:r>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s>
    <c:plotArea>
      <c:layout>
        <c:manualLayout>
          <c:layoutTarget val="inner"/>
          <c:xMode val="edge"/>
          <c:yMode val="edge"/>
          <c:x val="0.21052358920595621"/>
          <c:y val="0.3319233634491503"/>
          <c:w val="0.35088333013779621"/>
          <c:h val="0.60387429208528021"/>
        </c:manualLayout>
      </c:layout>
      <c:pieChart>
        <c:varyColors val="1"/>
        <c:ser>
          <c:idx val="0"/>
          <c:order val="0"/>
          <c:tx>
            <c:strRef>
              <c:f>'Pivot Plantsize'!$B$3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0EFD-47DC-9089-80B7FA60774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EFD-47DC-9089-80B7FA607744}"/>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0EFD-47DC-9089-80B7FA6077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Plantsize'!$A$4:$A$7</c:f>
              <c:strCache>
                <c:ptCount val="3"/>
                <c:pt idx="0">
                  <c:v>Large</c:v>
                </c:pt>
                <c:pt idx="1">
                  <c:v>Medium</c:v>
                </c:pt>
                <c:pt idx="2">
                  <c:v>Small</c:v>
                </c:pt>
              </c:strCache>
            </c:strRef>
          </c:cat>
          <c:val>
            <c:numRef>
              <c:f>'Pivot Plantsize'!$B$4:$B$7</c:f>
              <c:numCache>
                <c:formatCode>General</c:formatCode>
                <c:ptCount val="3"/>
                <c:pt idx="0">
                  <c:v>2</c:v>
                </c:pt>
                <c:pt idx="1">
                  <c:v>119</c:v>
                </c:pt>
                <c:pt idx="2">
                  <c:v>319</c:v>
                </c:pt>
              </c:numCache>
            </c:numRef>
          </c:val>
          <c:extLst>
            <c:ext xmlns:c16="http://schemas.microsoft.com/office/drawing/2014/chart" uri="{C3380CC4-5D6E-409C-BE32-E72D297353CC}">
              <c16:uniqueId val="{00000006-0EFD-47DC-9089-80B7FA60774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[plant_url.xlsx]Pivot Plant location!PivotTable3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Plant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Plant location'!$B$3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Plant location'!$A$4:$A$7</c:f>
              <c:strCache>
                <c:ptCount val="3"/>
                <c:pt idx="0">
                  <c:v>Both</c:v>
                </c:pt>
                <c:pt idx="1">
                  <c:v>Indoor</c:v>
                </c:pt>
                <c:pt idx="2">
                  <c:v>Outdoor</c:v>
                </c:pt>
              </c:strCache>
            </c:strRef>
          </c:cat>
          <c:val>
            <c:numRef>
              <c:f>'Pivot Plant location'!$B$4:$B$7</c:f>
              <c:numCache>
                <c:formatCode>General</c:formatCode>
                <c:ptCount val="3"/>
                <c:pt idx="0">
                  <c:v>123</c:v>
                </c:pt>
                <c:pt idx="1">
                  <c:v>193</c:v>
                </c:pt>
                <c:pt idx="2">
                  <c:v>124</c:v>
                </c:pt>
              </c:numCache>
            </c:numRef>
          </c:val>
          <c:extLst>
            <c:ext xmlns:c16="http://schemas.microsoft.com/office/drawing/2014/chart" uri="{C3380CC4-5D6E-409C-BE32-E72D297353CC}">
              <c16:uniqueId val="{00000000-FCA3-43EE-B29E-C66DE32F385F}"/>
            </c:ext>
          </c:extLst>
        </c:ser>
        <c:dLbls>
          <c:dLblPos val="outEnd"/>
          <c:showLegendKey val="0"/>
          <c:showVal val="1"/>
          <c:showCatName val="0"/>
          <c:showSerName val="0"/>
          <c:showPercent val="0"/>
          <c:showBubbleSize val="0"/>
        </c:dLbls>
        <c:gapWidth val="219"/>
        <c:overlap val="-27"/>
        <c:axId val="1323411376"/>
        <c:axId val="1323412336"/>
      </c:barChart>
      <c:catAx>
        <c:axId val="132341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412336"/>
        <c:crosses val="autoZero"/>
        <c:auto val="1"/>
        <c:lblAlgn val="ctr"/>
        <c:lblOffset val="100"/>
        <c:noMultiLvlLbl val="0"/>
      </c:catAx>
      <c:valAx>
        <c:axId val="132341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41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[plant_url.xlsx]Pivot 10 Brand name!PivotTable4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a:t>
            </a:r>
            <a:r>
              <a:rPr lang="en-US" baseline="0"/>
              <a:t>10 Brand Name</a:t>
            </a:r>
            <a:endParaRPr lang="en-US"/>
          </a:p>
        </c:rich>
      </c:tx>
      <c:layout>
        <c:manualLayout>
          <c:xMode val="edge"/>
          <c:yMode val="edge"/>
          <c:x val="0.46754135521300788"/>
          <c:y val="8.48629319803462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10 Brand name'!$B$3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10 Brand name'!$A$4:$A$17</c:f>
              <c:strCache>
                <c:ptCount val="13"/>
                <c:pt idx="0">
                  <c:v>UGAOO</c:v>
                </c:pt>
                <c:pt idx="1">
                  <c:v>AlaiStore</c:v>
                </c:pt>
                <c:pt idx="2">
                  <c:v>CloudFarming</c:v>
                </c:pt>
                <c:pt idx="3">
                  <c:v>GreenyOn</c:v>
                </c:pt>
                <c:pt idx="4">
                  <c:v>RoyANDRoyTraders</c:v>
                </c:pt>
                <c:pt idx="5">
                  <c:v>OXYGREENPLANT</c:v>
                </c:pt>
                <c:pt idx="6">
                  <c:v>SKYTCOM</c:v>
                </c:pt>
                <c:pt idx="7">
                  <c:v>TheEntacloo</c:v>
                </c:pt>
                <c:pt idx="8">
                  <c:v>Digitalgreenpar</c:v>
                </c:pt>
                <c:pt idx="9">
                  <c:v>Barhloew</c:v>
                </c:pt>
                <c:pt idx="10">
                  <c:v>GLOBQRO</c:v>
                </c:pt>
                <c:pt idx="11">
                  <c:v>NELSONnurseryPLANT</c:v>
                </c:pt>
                <c:pt idx="12">
                  <c:v>NALQUITS</c:v>
                </c:pt>
              </c:strCache>
            </c:strRef>
          </c:cat>
          <c:val>
            <c:numRef>
              <c:f>'Pivot 10 Brand name'!$B$4:$B$17</c:f>
              <c:numCache>
                <c:formatCode>General</c:formatCode>
                <c:ptCount val="13"/>
                <c:pt idx="0">
                  <c:v>177</c:v>
                </c:pt>
                <c:pt idx="1">
                  <c:v>55</c:v>
                </c:pt>
                <c:pt idx="2">
                  <c:v>35</c:v>
                </c:pt>
                <c:pt idx="3">
                  <c:v>25</c:v>
                </c:pt>
                <c:pt idx="4">
                  <c:v>10</c:v>
                </c:pt>
                <c:pt idx="5">
                  <c:v>10</c:v>
                </c:pt>
                <c:pt idx="6">
                  <c:v>7</c:v>
                </c:pt>
                <c:pt idx="7">
                  <c:v>5</c:v>
                </c:pt>
                <c:pt idx="8">
                  <c:v>5</c:v>
                </c:pt>
                <c:pt idx="9">
                  <c:v>4</c:v>
                </c:pt>
                <c:pt idx="10">
                  <c:v>4</c:v>
                </c:pt>
                <c:pt idx="11">
                  <c:v>4</c:v>
                </c:pt>
                <c:pt idx="12">
                  <c:v>4</c:v>
                </c:pt>
              </c:numCache>
            </c:numRef>
          </c:val>
          <c:extLst>
            <c:ext xmlns:c16="http://schemas.microsoft.com/office/drawing/2014/chart" uri="{C3380CC4-5D6E-409C-BE32-E72D297353CC}">
              <c16:uniqueId val="{00000000-2C38-4CB8-81A8-9CBC58E07669}"/>
            </c:ext>
          </c:extLst>
        </c:ser>
        <c:dLbls>
          <c:dLblPos val="outEnd"/>
          <c:showLegendKey val="0"/>
          <c:showVal val="1"/>
          <c:showCatName val="0"/>
          <c:showSerName val="0"/>
          <c:showPercent val="0"/>
          <c:showBubbleSize val="0"/>
        </c:dLbls>
        <c:gapWidth val="219"/>
        <c:overlap val="-27"/>
        <c:axId val="1423341056"/>
        <c:axId val="1423343456"/>
      </c:barChart>
      <c:catAx>
        <c:axId val="142334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343456"/>
        <c:crosses val="autoZero"/>
        <c:auto val="1"/>
        <c:lblAlgn val="ctr"/>
        <c:lblOffset val="100"/>
        <c:noMultiLvlLbl val="0"/>
      </c:catAx>
      <c:valAx>
        <c:axId val="142334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34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[plant_url.xlsx]Pivot Plantype!PivotTable6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Plant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pPr>
            <a:solidFill>
              <a:schemeClr val="accent6"/>
            </a:solidFill>
            <a:ln w="9525">
              <a:solidFill>
                <a:schemeClr val="accent6"/>
              </a:solidFill>
            </a:ln>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
        <c:idx val="20"/>
        <c:spPr>
          <a:solidFill>
            <a:schemeClr val="accent6"/>
          </a:solidFill>
          <a:ln w="19050">
            <a:solidFill>
              <a:schemeClr val="lt1"/>
            </a:solidFill>
          </a:ln>
          <a:effectLst/>
        </c:spPr>
      </c:pivotFmt>
      <c:pivotFmt>
        <c:idx val="21"/>
        <c:spPr>
          <a:solidFill>
            <a:schemeClr val="accent6"/>
          </a:solidFill>
          <a:ln w="19050">
            <a:solidFill>
              <a:schemeClr val="lt1"/>
            </a:solidFill>
          </a:ln>
          <a:effectLst/>
        </c:spPr>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6"/>
          </a:solidFill>
          <a:ln w="19050">
            <a:solidFill>
              <a:schemeClr val="lt1"/>
            </a:solidFill>
          </a:ln>
          <a:effectLst/>
        </c:spPr>
      </c:pivotFmt>
      <c:pivotFmt>
        <c:idx val="25"/>
        <c:spPr>
          <a:solidFill>
            <a:schemeClr val="accent6"/>
          </a:solidFill>
          <a:ln w="19050">
            <a:solidFill>
              <a:schemeClr val="lt1"/>
            </a:solidFill>
          </a:ln>
          <a:effectLst/>
        </c:spPr>
      </c:pivotFmt>
      <c:pivotFmt>
        <c:idx val="26"/>
        <c:spPr>
          <a:solidFill>
            <a:schemeClr val="accent6"/>
          </a:solidFill>
          <a:ln w="19050">
            <a:solidFill>
              <a:schemeClr val="lt1"/>
            </a:solidFill>
          </a:ln>
          <a:effectLst/>
        </c:spPr>
      </c:pivotFmt>
      <c:pivotFmt>
        <c:idx val="27"/>
        <c:spPr>
          <a:solidFill>
            <a:schemeClr val="accent6"/>
          </a:solidFill>
          <a:ln w="19050">
            <a:solidFill>
              <a:schemeClr val="lt1"/>
            </a:solidFill>
          </a:ln>
          <a:effectLst/>
        </c:spPr>
      </c:pivotFmt>
    </c:pivotFmts>
    <c:plotArea>
      <c:layout/>
      <c:pieChart>
        <c:varyColors val="1"/>
        <c:ser>
          <c:idx val="0"/>
          <c:order val="0"/>
          <c:tx>
            <c:strRef>
              <c:f>'Pivot Plantype'!$B$3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B60C-403A-9FEA-9339718E320D}"/>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B60C-403A-9FEA-9339718E320D}"/>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B60C-403A-9FEA-9339718E320D}"/>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B60C-403A-9FEA-9339718E320D}"/>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B60C-403A-9FEA-9339718E320D}"/>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B60C-403A-9FEA-9339718E320D}"/>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D-B60C-403A-9FEA-9339718E320D}"/>
              </c:ext>
            </c:extLst>
          </c:dPt>
          <c:dPt>
            <c:idx val="7"/>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F-B60C-403A-9FEA-9339718E320D}"/>
              </c:ext>
            </c:extLst>
          </c:dPt>
          <c:dPt>
            <c:idx val="8"/>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1-B60C-403A-9FEA-9339718E320D}"/>
              </c:ext>
            </c:extLst>
          </c:dPt>
          <c:dPt>
            <c:idx val="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3-B60C-403A-9FEA-9339718E320D}"/>
              </c:ext>
            </c:extLst>
          </c:dPt>
          <c:dPt>
            <c:idx val="1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15-B60C-403A-9FEA-9339718E32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Plantype'!$A$4:$A$15</c:f>
              <c:strCache>
                <c:ptCount val="11"/>
                <c:pt idx="0">
                  <c:v>Fruit</c:v>
                </c:pt>
                <c:pt idx="1">
                  <c:v>Succulent</c:v>
                </c:pt>
                <c:pt idx="2">
                  <c:v>Shrub</c:v>
                </c:pt>
                <c:pt idx="3">
                  <c:v>Herb</c:v>
                </c:pt>
                <c:pt idx="4">
                  <c:v>Flower</c:v>
                </c:pt>
                <c:pt idx="5">
                  <c:v>Foliage</c:v>
                </c:pt>
                <c:pt idx="6">
                  <c:v>Bamboo</c:v>
                </c:pt>
                <c:pt idx="7">
                  <c:v>Air purifier plant</c:v>
                </c:pt>
                <c:pt idx="8">
                  <c:v>Tree</c:v>
                </c:pt>
                <c:pt idx="9">
                  <c:v>Bonsai</c:v>
                </c:pt>
                <c:pt idx="10">
                  <c:v>Creepers and Climbers</c:v>
                </c:pt>
              </c:strCache>
            </c:strRef>
          </c:cat>
          <c:val>
            <c:numRef>
              <c:f>'Pivot Plantype'!$B$4:$B$15</c:f>
              <c:numCache>
                <c:formatCode>General</c:formatCode>
                <c:ptCount val="11"/>
                <c:pt idx="0">
                  <c:v>100</c:v>
                </c:pt>
                <c:pt idx="1">
                  <c:v>95</c:v>
                </c:pt>
                <c:pt idx="2">
                  <c:v>82</c:v>
                </c:pt>
                <c:pt idx="3">
                  <c:v>57</c:v>
                </c:pt>
                <c:pt idx="4">
                  <c:v>28</c:v>
                </c:pt>
                <c:pt idx="5">
                  <c:v>23</c:v>
                </c:pt>
                <c:pt idx="6">
                  <c:v>19</c:v>
                </c:pt>
                <c:pt idx="7">
                  <c:v>14</c:v>
                </c:pt>
                <c:pt idx="8">
                  <c:v>11</c:v>
                </c:pt>
                <c:pt idx="9">
                  <c:v>10</c:v>
                </c:pt>
                <c:pt idx="10">
                  <c:v>1</c:v>
                </c:pt>
              </c:numCache>
            </c:numRef>
          </c:val>
          <c:extLst>
            <c:ext xmlns:c16="http://schemas.microsoft.com/office/drawing/2014/chart" uri="{C3380CC4-5D6E-409C-BE32-E72D297353CC}">
              <c16:uniqueId val="{00000016-B60C-403A-9FEA-9339718E320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[plant_url.xlsx]Plant OriginalPrice vs SpecialP!PivotTable11</c:name>
    <c:fmtId val="1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400" b="0"/>
              <a:t>Original</a:t>
            </a:r>
            <a:r>
              <a:rPr lang="en-IN"/>
              <a:t> </a:t>
            </a:r>
            <a:r>
              <a:rPr lang="en-IN" sz="1400" b="0"/>
              <a:t>Price</a:t>
            </a:r>
            <a:r>
              <a:rPr lang="en-IN" baseline="0"/>
              <a:t> </a:t>
            </a:r>
            <a:r>
              <a:rPr lang="en-IN" sz="1400" b="0" baseline="0"/>
              <a:t>VS</a:t>
            </a:r>
            <a:r>
              <a:rPr lang="en-IN" baseline="0"/>
              <a:t> </a:t>
            </a:r>
            <a:r>
              <a:rPr lang="en-IN" sz="1400" b="0" baseline="0"/>
              <a:t>Special</a:t>
            </a:r>
            <a:r>
              <a:rPr lang="en-IN" baseline="0"/>
              <a:t> </a:t>
            </a:r>
            <a:r>
              <a:rPr lang="en-IN" sz="1400" b="0" baseline="0"/>
              <a:t>Price</a:t>
            </a:r>
            <a:endParaRPr lang="en-IN" sz="1400" b="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'Plant OriginalPrice vs SpecialP'!$B$3</c:f>
              <c:strCache>
                <c:ptCount val="1"/>
                <c:pt idx="0">
                  <c:v>Sum of ORIGINAL PRICE</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'Plant OriginalPrice vs SpecialP'!$A$4:$A$9</c:f>
              <c:strCache>
                <c:ptCount val="5"/>
                <c:pt idx="0">
                  <c:v>ABEFARIYA Areca Palm</c:v>
                </c:pt>
                <c:pt idx="1">
                  <c:v>Cloud Farm Clove Plant</c:v>
                </c:pt>
                <c:pt idx="2">
                  <c:v>UGAOO Golden Money Plant</c:v>
                </c:pt>
                <c:pt idx="3">
                  <c:v>UGAOO Jade Plant</c:v>
                </c:pt>
                <c:pt idx="4">
                  <c:v>UGAOO Variegated Money Plant</c:v>
                </c:pt>
              </c:strCache>
            </c:strRef>
          </c:cat>
          <c:val>
            <c:numRef>
              <c:f>'Plant OriginalPrice vs SpecialP'!$B$4:$B$9</c:f>
              <c:numCache>
                <c:formatCode>0.00</c:formatCode>
                <c:ptCount val="5"/>
                <c:pt idx="0">
                  <c:v>9443</c:v>
                </c:pt>
                <c:pt idx="1">
                  <c:v>10125</c:v>
                </c:pt>
                <c:pt idx="2">
                  <c:v>14817</c:v>
                </c:pt>
                <c:pt idx="3">
                  <c:v>44418</c:v>
                </c:pt>
                <c:pt idx="4">
                  <c:v>17467</c:v>
                </c:pt>
              </c:numCache>
            </c:numRef>
          </c:val>
          <c:extLst>
            <c:ext xmlns:c16="http://schemas.microsoft.com/office/drawing/2014/chart" uri="{C3380CC4-5D6E-409C-BE32-E72D297353CC}">
              <c16:uniqueId val="{00000000-0000-461B-928A-CE05FC2393B2}"/>
            </c:ext>
          </c:extLst>
        </c:ser>
        <c:ser>
          <c:idx val="1"/>
          <c:order val="1"/>
          <c:tx>
            <c:strRef>
              <c:f>'Plant OriginalPrice vs SpecialP'!$C$3</c:f>
              <c:strCache>
                <c:ptCount val="1"/>
                <c:pt idx="0">
                  <c:v>Sum of SPECIAL PRICE</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'Plant OriginalPrice vs SpecialP'!$A$4:$A$9</c:f>
              <c:strCache>
                <c:ptCount val="5"/>
                <c:pt idx="0">
                  <c:v>ABEFARIYA Areca Palm</c:v>
                </c:pt>
                <c:pt idx="1">
                  <c:v>Cloud Farm Clove Plant</c:v>
                </c:pt>
                <c:pt idx="2">
                  <c:v>UGAOO Golden Money Plant</c:v>
                </c:pt>
                <c:pt idx="3">
                  <c:v>UGAOO Jade Plant</c:v>
                </c:pt>
                <c:pt idx="4">
                  <c:v>UGAOO Variegated Money Plant</c:v>
                </c:pt>
              </c:strCache>
            </c:strRef>
          </c:cat>
          <c:val>
            <c:numRef>
              <c:f>'Plant OriginalPrice vs SpecialP'!$C$4:$C$9</c:f>
              <c:numCache>
                <c:formatCode>0.00</c:formatCode>
                <c:ptCount val="5"/>
                <c:pt idx="0">
                  <c:v>1098</c:v>
                </c:pt>
                <c:pt idx="1">
                  <c:v>3729</c:v>
                </c:pt>
                <c:pt idx="2">
                  <c:v>11517</c:v>
                </c:pt>
                <c:pt idx="3">
                  <c:v>33297</c:v>
                </c:pt>
                <c:pt idx="4">
                  <c:v>14162</c:v>
                </c:pt>
              </c:numCache>
            </c:numRef>
          </c:val>
          <c:extLst>
            <c:ext xmlns:c16="http://schemas.microsoft.com/office/drawing/2014/chart" uri="{C3380CC4-5D6E-409C-BE32-E72D297353CC}">
              <c16:uniqueId val="{00000001-0000-461B-928A-CE05FC2393B2}"/>
            </c:ext>
          </c:extLst>
        </c:ser>
        <c:dLbls>
          <c:dLblPos val="outEnd"/>
          <c:showLegendKey val="0"/>
          <c:showVal val="1"/>
          <c:showCatName val="0"/>
          <c:showSerName val="0"/>
          <c:showPercent val="0"/>
          <c:showBubbleSize val="0"/>
        </c:dLbls>
        <c:gapWidth val="100"/>
        <c:overlap val="-24"/>
        <c:axId val="17535568"/>
        <c:axId val="17539888"/>
      </c:barChart>
      <c:catAx>
        <c:axId val="1753556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539888"/>
        <c:crosses val="autoZero"/>
        <c:auto val="1"/>
        <c:lblAlgn val="ctr"/>
        <c:lblOffset val="100"/>
        <c:noMultiLvlLbl val="0"/>
      </c:catAx>
      <c:valAx>
        <c:axId val="17539888"/>
        <c:scaling>
          <c:orientation val="minMax"/>
          <c:min val="100"/>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535568"/>
        <c:crosses val="autoZero"/>
        <c:crossBetween val="between"/>
        <c:dispUnits>
          <c:builtInUnit val="hundreds"/>
          <c:dispUnitsLbl>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Price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mn-lt"/>
            </a:rPr>
            <a:t>Price</a:t>
          </a:r>
        </a:p>
      </cx:txPr>
    </cx:title>
    <cx:plotArea>
      <cx:plotAreaRegion>
        <cx:series layoutId="boxWhisker" uniqueId="{BD52FF5D-4507-47B4-BE76-A704EDF4C6E0}">
          <cx:dataLabels>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cx:valScaling min="100"/>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mn-lt"/>
              </a:rPr>
              <a:t>Rating</a:t>
            </a:r>
            <a:r>
              <a:rPr lang="en-US" sz="1400" b="0" i="0" u="none" strike="noStrike" baseline="0">
                <a:solidFill>
                  <a:sysClr val="windowText" lastClr="000000">
                    <a:lumMod val="65000"/>
                    <a:lumOff val="35000"/>
                  </a:sysClr>
                </a:solidFill>
                <a:latin typeface="Calibri" panose="020F0502020204030204"/>
              </a:rPr>
              <a:t> </a:t>
            </a:r>
            <a:r>
              <a:rPr lang="en-US" sz="1400" b="0" i="0" u="none" strike="noStrike" baseline="0">
                <a:solidFill>
                  <a:sysClr val="windowText" lastClr="000000">
                    <a:lumMod val="65000"/>
                    <a:lumOff val="35000"/>
                  </a:sysClr>
                </a:solidFill>
                <a:latin typeface="+mn-lt"/>
              </a:rPr>
              <a:t>Brand</a:t>
            </a:r>
            <a:r>
              <a:rPr lang="en-US" sz="1400" b="0" i="0" u="none" strike="noStrike" baseline="0">
                <a:solidFill>
                  <a:sysClr val="windowText" lastClr="000000">
                    <a:lumMod val="65000"/>
                    <a:lumOff val="35000"/>
                  </a:sysClr>
                </a:solidFill>
                <a:latin typeface="Calibri" panose="020F0502020204030204"/>
              </a:rPr>
              <a:t> </a:t>
            </a:r>
            <a:r>
              <a:rPr lang="en-US" sz="1400" b="0" i="0" u="none" strike="noStrike" baseline="0">
                <a:solidFill>
                  <a:sysClr val="windowText" lastClr="000000">
                    <a:lumMod val="65000"/>
                    <a:lumOff val="35000"/>
                  </a:sysClr>
                </a:solidFill>
                <a:latin typeface="+mn-lt"/>
              </a:rPr>
              <a:t>Wise</a:t>
            </a:r>
          </a:p>
        </cx:rich>
      </cx:tx>
    </cx:title>
    <cx:plotArea>
      <cx:plotAreaRegion>
        <cx:series layoutId="clusteredColumn" uniqueId="{65DB89DE-562C-47EE-8C76-7A54AFA390EA}">
          <cx:dataLabels>
            <cx:visibility seriesName="0" categoryName="0" value="1"/>
          </cx:dataLabels>
          <cx:dataId val="0"/>
          <cx:layoutPr>
            <cx:binning intervalClosed="r">
              <cx:binSize val="1"/>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613410</xdr:colOff>
      <xdr:row>1</xdr:row>
      <xdr:rowOff>22860</xdr:rowOff>
    </xdr:from>
    <xdr:to>
      <xdr:col>12</xdr:col>
      <xdr:colOff>586740</xdr:colOff>
      <xdr:row>18</xdr:row>
      <xdr:rowOff>38100</xdr:rowOff>
    </xdr:to>
    <xdr:graphicFrame macro="">
      <xdr:nvGraphicFramePr>
        <xdr:cNvPr id="2" name="Chart 1">
          <a:extLst>
            <a:ext uri="{FF2B5EF4-FFF2-40B4-BE49-F238E27FC236}">
              <a16:creationId xmlns:a16="http://schemas.microsoft.com/office/drawing/2014/main" id="{3B73BDB0-2EE2-0C97-983A-C62DE6F506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26670</xdr:colOff>
      <xdr:row>1</xdr:row>
      <xdr:rowOff>121920</xdr:rowOff>
    </xdr:from>
    <xdr:to>
      <xdr:col>13</xdr:col>
      <xdr:colOff>487680</xdr:colOff>
      <xdr:row>18</xdr:row>
      <xdr:rowOff>137160</xdr:rowOff>
    </xdr:to>
    <xdr:graphicFrame macro="">
      <xdr:nvGraphicFramePr>
        <xdr:cNvPr id="2" name="Chart 1">
          <a:extLst>
            <a:ext uri="{FF2B5EF4-FFF2-40B4-BE49-F238E27FC236}">
              <a16:creationId xmlns:a16="http://schemas.microsoft.com/office/drawing/2014/main" id="{EBE594AD-62D9-372D-1370-73C542A98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506730</xdr:colOff>
      <xdr:row>1</xdr:row>
      <xdr:rowOff>60960</xdr:rowOff>
    </xdr:from>
    <xdr:to>
      <xdr:col>13</xdr:col>
      <xdr:colOff>335280</xdr:colOff>
      <xdr:row>23</xdr:row>
      <xdr:rowOff>167640</xdr:rowOff>
    </xdr:to>
    <xdr:graphicFrame macro="">
      <xdr:nvGraphicFramePr>
        <xdr:cNvPr id="2" name="Chart 1">
          <a:extLst>
            <a:ext uri="{FF2B5EF4-FFF2-40B4-BE49-F238E27FC236}">
              <a16:creationId xmlns:a16="http://schemas.microsoft.com/office/drawing/2014/main" id="{15EB0014-6083-7531-C275-23D9C1EA8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243840</xdr:colOff>
      <xdr:row>3</xdr:row>
      <xdr:rowOff>60960</xdr:rowOff>
    </xdr:from>
    <xdr:to>
      <xdr:col>17</xdr:col>
      <xdr:colOff>60960</xdr:colOff>
      <xdr:row>16</xdr:row>
      <xdr:rowOff>180975</xdr:rowOff>
    </xdr:to>
    <mc:AlternateContent xmlns:mc="http://schemas.openxmlformats.org/markup-compatibility/2006" xmlns:a14="http://schemas.microsoft.com/office/drawing/2010/main">
      <mc:Choice Requires="a14">
        <xdr:graphicFrame macro="">
          <xdr:nvGraphicFramePr>
            <xdr:cNvPr id="15" name="Plant Name">
              <a:extLst>
                <a:ext uri="{FF2B5EF4-FFF2-40B4-BE49-F238E27FC236}">
                  <a16:creationId xmlns:a16="http://schemas.microsoft.com/office/drawing/2014/main" id="{AC84EF99-8BAF-925F-45AE-B0910CEE607B}"/>
                </a:ext>
              </a:extLst>
            </xdr:cNvPr>
            <xdr:cNvGraphicFramePr/>
          </xdr:nvGraphicFramePr>
          <xdr:xfrm>
            <a:off x="0" y="0"/>
            <a:ext cx="0" cy="0"/>
          </xdr:xfrm>
          <a:graphic>
            <a:graphicData uri="http://schemas.microsoft.com/office/drawing/2010/slicer">
              <sle:slicer xmlns:sle="http://schemas.microsoft.com/office/drawing/2010/slicer" name="Plant Name"/>
            </a:graphicData>
          </a:graphic>
        </xdr:graphicFrame>
      </mc:Choice>
      <mc:Fallback xmlns="">
        <xdr:sp macro="" textlink="">
          <xdr:nvSpPr>
            <xdr:cNvPr id="0" name=""/>
            <xdr:cNvSpPr>
              <a:spLocks noTextEdit="1"/>
            </xdr:cNvSpPr>
          </xdr:nvSpPr>
          <xdr:spPr>
            <a:xfrm>
              <a:off x="10675620" y="6553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384810</xdr:colOff>
      <xdr:row>2</xdr:row>
      <xdr:rowOff>121920</xdr:rowOff>
    </xdr:from>
    <xdr:to>
      <xdr:col>12</xdr:col>
      <xdr:colOff>262890</xdr:colOff>
      <xdr:row>16</xdr:row>
      <xdr:rowOff>91440</xdr:rowOff>
    </xdr:to>
    <xdr:graphicFrame macro="">
      <xdr:nvGraphicFramePr>
        <xdr:cNvPr id="2" name="Chart 1">
          <a:extLst>
            <a:ext uri="{FF2B5EF4-FFF2-40B4-BE49-F238E27FC236}">
              <a16:creationId xmlns:a16="http://schemas.microsoft.com/office/drawing/2014/main" id="{EB557A1F-7B50-A496-A4E2-044626011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643890</xdr:colOff>
      <xdr:row>0</xdr:row>
      <xdr:rowOff>152400</xdr:rowOff>
    </xdr:from>
    <xdr:to>
      <xdr:col>14</xdr:col>
      <xdr:colOff>335280</xdr:colOff>
      <xdr:row>24</xdr:row>
      <xdr:rowOff>7620</xdr:rowOff>
    </xdr:to>
    <xdr:graphicFrame macro="">
      <xdr:nvGraphicFramePr>
        <xdr:cNvPr id="2" name="Chart 1">
          <a:extLst>
            <a:ext uri="{FF2B5EF4-FFF2-40B4-BE49-F238E27FC236}">
              <a16:creationId xmlns:a16="http://schemas.microsoft.com/office/drawing/2014/main" id="{8667E3F1-6AA2-0663-4F13-751AE2B59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106680</xdr:colOff>
      <xdr:row>4</xdr:row>
      <xdr:rowOff>76200</xdr:rowOff>
    </xdr:from>
    <xdr:to>
      <xdr:col>17</xdr:col>
      <xdr:colOff>594360</xdr:colOff>
      <xdr:row>17</xdr:row>
      <xdr:rowOff>196215</xdr:rowOff>
    </xdr:to>
    <mc:AlternateContent xmlns:mc="http://schemas.openxmlformats.org/markup-compatibility/2006" xmlns:a14="http://schemas.microsoft.com/office/drawing/2010/main">
      <mc:Choice Requires="a14">
        <xdr:graphicFrame macro="">
          <xdr:nvGraphicFramePr>
            <xdr:cNvPr id="3" name="TYPE">
              <a:extLst>
                <a:ext uri="{FF2B5EF4-FFF2-40B4-BE49-F238E27FC236}">
                  <a16:creationId xmlns:a16="http://schemas.microsoft.com/office/drawing/2014/main" id="{81B54FA6-4A83-8B89-87F2-10AC6873F54C}"/>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2169140" y="8686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331470</xdr:colOff>
      <xdr:row>1</xdr:row>
      <xdr:rowOff>121920</xdr:rowOff>
    </xdr:from>
    <xdr:to>
      <xdr:col>14</xdr:col>
      <xdr:colOff>373380</xdr:colOff>
      <xdr:row>23</xdr:row>
      <xdr:rowOff>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98402E0-2522-689D-CFE0-C822C66F36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71110" y="320040"/>
              <a:ext cx="5406390" cy="42443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6</xdr:col>
      <xdr:colOff>163830</xdr:colOff>
      <xdr:row>1</xdr:row>
      <xdr:rowOff>68580</xdr:rowOff>
    </xdr:from>
    <xdr:to>
      <xdr:col>15</xdr:col>
      <xdr:colOff>662940</xdr:colOff>
      <xdr:row>23</xdr:row>
      <xdr:rowOff>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8F031392-72C5-022A-57AC-2BF0D6E26D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11090" y="266700"/>
              <a:ext cx="6534150" cy="42900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87630</xdr:colOff>
      <xdr:row>1</xdr:row>
      <xdr:rowOff>68580</xdr:rowOff>
    </xdr:from>
    <xdr:to>
      <xdr:col>14</xdr:col>
      <xdr:colOff>137160</xdr:colOff>
      <xdr:row>22</xdr:row>
      <xdr:rowOff>68580</xdr:rowOff>
    </xdr:to>
    <xdr:graphicFrame macro="">
      <xdr:nvGraphicFramePr>
        <xdr:cNvPr id="2" name="Chart 1">
          <a:extLst>
            <a:ext uri="{FF2B5EF4-FFF2-40B4-BE49-F238E27FC236}">
              <a16:creationId xmlns:a16="http://schemas.microsoft.com/office/drawing/2014/main" id="{728D56F9-0035-C03A-F1D9-91B57E28DE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297180</xdr:colOff>
      <xdr:row>0</xdr:row>
      <xdr:rowOff>22860</xdr:rowOff>
    </xdr:from>
    <xdr:to>
      <xdr:col>14</xdr:col>
      <xdr:colOff>243840</xdr:colOff>
      <xdr:row>22</xdr:row>
      <xdr:rowOff>182880</xdr:rowOff>
    </xdr:to>
    <xdr:graphicFrame macro="">
      <xdr:nvGraphicFramePr>
        <xdr:cNvPr id="2" name="Chart 1">
          <a:extLst>
            <a:ext uri="{FF2B5EF4-FFF2-40B4-BE49-F238E27FC236}">
              <a16:creationId xmlns:a16="http://schemas.microsoft.com/office/drawing/2014/main" id="{5AE96963-9A41-08C1-574F-7E667206FE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636270</xdr:colOff>
      <xdr:row>0</xdr:row>
      <xdr:rowOff>160020</xdr:rowOff>
    </xdr:from>
    <xdr:to>
      <xdr:col>6</xdr:col>
      <xdr:colOff>106680</xdr:colOff>
      <xdr:row>23</xdr:row>
      <xdr:rowOff>144780</xdr:rowOff>
    </xdr:to>
    <xdr:graphicFrame macro="">
      <xdr:nvGraphicFramePr>
        <xdr:cNvPr id="2" name="Chart 1">
          <a:extLst>
            <a:ext uri="{FF2B5EF4-FFF2-40B4-BE49-F238E27FC236}">
              <a16:creationId xmlns:a16="http://schemas.microsoft.com/office/drawing/2014/main" id="{EE49C3AE-8A6C-A381-EFA6-3C09B8CC02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7</xdr:col>
      <xdr:colOff>573194</xdr:colOff>
      <xdr:row>4</xdr:row>
      <xdr:rowOff>169334</xdr:rowOff>
    </xdr:from>
    <xdr:to>
      <xdr:col>13</xdr:col>
      <xdr:colOff>304800</xdr:colOff>
      <xdr:row>16</xdr:row>
      <xdr:rowOff>8467</xdr:rowOff>
    </xdr:to>
    <xdr:graphicFrame macro="">
      <xdr:nvGraphicFramePr>
        <xdr:cNvPr id="2" name="Chart 1">
          <a:extLst>
            <a:ext uri="{FF2B5EF4-FFF2-40B4-BE49-F238E27FC236}">
              <a16:creationId xmlns:a16="http://schemas.microsoft.com/office/drawing/2014/main" id="{73AFA8B1-B911-4953-95E6-EB96C62C4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558796</xdr:colOff>
      <xdr:row>16</xdr:row>
      <xdr:rowOff>59267</xdr:rowOff>
    </xdr:from>
    <xdr:to>
      <xdr:col>13</xdr:col>
      <xdr:colOff>313265</xdr:colOff>
      <xdr:row>31</xdr:row>
      <xdr:rowOff>48261</xdr:rowOff>
    </xdr:to>
    <xdr:graphicFrame macro="">
      <xdr:nvGraphicFramePr>
        <xdr:cNvPr id="3" name="Chart 2">
          <a:extLst>
            <a:ext uri="{FF2B5EF4-FFF2-40B4-BE49-F238E27FC236}">
              <a16:creationId xmlns:a16="http://schemas.microsoft.com/office/drawing/2014/main" id="{18586171-865E-4685-B61D-D7E9380ED3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355601</xdr:colOff>
      <xdr:row>16</xdr:row>
      <xdr:rowOff>59267</xdr:rowOff>
    </xdr:from>
    <xdr:to>
      <xdr:col>20</xdr:col>
      <xdr:colOff>33868</xdr:colOff>
      <xdr:row>31</xdr:row>
      <xdr:rowOff>58423</xdr:rowOff>
    </xdr:to>
    <xdr:graphicFrame macro="">
      <xdr:nvGraphicFramePr>
        <xdr:cNvPr id="4" name="Chart 3">
          <a:extLst>
            <a:ext uri="{FF2B5EF4-FFF2-40B4-BE49-F238E27FC236}">
              <a16:creationId xmlns:a16="http://schemas.microsoft.com/office/drawing/2014/main" id="{B228E98C-809E-46C8-966E-9CDE40350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338666</xdr:colOff>
      <xdr:row>4</xdr:row>
      <xdr:rowOff>169334</xdr:rowOff>
    </xdr:from>
    <xdr:to>
      <xdr:col>20</xdr:col>
      <xdr:colOff>33867</xdr:colOff>
      <xdr:row>15</xdr:row>
      <xdr:rowOff>194732</xdr:rowOff>
    </xdr:to>
    <xdr:graphicFrame macro="">
      <xdr:nvGraphicFramePr>
        <xdr:cNvPr id="5" name="Chart 4">
          <a:extLst>
            <a:ext uri="{FF2B5EF4-FFF2-40B4-BE49-F238E27FC236}">
              <a16:creationId xmlns:a16="http://schemas.microsoft.com/office/drawing/2014/main" id="{521527A7-DDC9-48EA-B30A-567798306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67734</xdr:colOff>
      <xdr:row>0</xdr:row>
      <xdr:rowOff>84667</xdr:rowOff>
    </xdr:from>
    <xdr:to>
      <xdr:col>22</xdr:col>
      <xdr:colOff>660400</xdr:colOff>
      <xdr:row>4</xdr:row>
      <xdr:rowOff>0</xdr:rowOff>
    </xdr:to>
    <xdr:sp macro="" textlink="">
      <xdr:nvSpPr>
        <xdr:cNvPr id="7" name="Rectangle: Rounded Corners 6">
          <a:extLst>
            <a:ext uri="{FF2B5EF4-FFF2-40B4-BE49-F238E27FC236}">
              <a16:creationId xmlns:a16="http://schemas.microsoft.com/office/drawing/2014/main" id="{059D8AA3-B316-30EE-F2D7-D66DEB4E7CF9}"/>
            </a:ext>
          </a:extLst>
        </xdr:cNvPr>
        <xdr:cNvSpPr/>
      </xdr:nvSpPr>
      <xdr:spPr>
        <a:xfrm>
          <a:off x="67734" y="84667"/>
          <a:ext cx="15307733" cy="694266"/>
        </a:xfrm>
        <a:prstGeom prst="roundRect">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3200">
              <a:latin typeface="Times New Roman" panose="02020603050405020304" pitchFamily="18" charset="0"/>
              <a:cs typeface="Times New Roman" panose="02020603050405020304" pitchFamily="18" charset="0"/>
            </a:rPr>
            <a:t>PLANT REPORT</a:t>
          </a:r>
        </a:p>
      </xdr:txBody>
    </xdr:sp>
    <xdr:clientData/>
  </xdr:twoCellAnchor>
  <xdr:twoCellAnchor editAs="oneCell">
    <xdr:from>
      <xdr:col>20</xdr:col>
      <xdr:colOff>101600</xdr:colOff>
      <xdr:row>4</xdr:row>
      <xdr:rowOff>177800</xdr:rowOff>
    </xdr:from>
    <xdr:to>
      <xdr:col>22</xdr:col>
      <xdr:colOff>592666</xdr:colOff>
      <xdr:row>31</xdr:row>
      <xdr:rowOff>84668</xdr:rowOff>
    </xdr:to>
    <mc:AlternateContent xmlns:mc="http://schemas.openxmlformats.org/markup-compatibility/2006" xmlns:a14="http://schemas.microsoft.com/office/drawing/2010/main">
      <mc:Choice Requires="a14">
        <xdr:graphicFrame macro="">
          <xdr:nvGraphicFramePr>
            <xdr:cNvPr id="8" name="TYPE 1">
              <a:extLst>
                <a:ext uri="{FF2B5EF4-FFF2-40B4-BE49-F238E27FC236}">
                  <a16:creationId xmlns:a16="http://schemas.microsoft.com/office/drawing/2014/main" id="{7D79379E-4B71-4BF6-9CE0-786784E05A65}"/>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13478933" y="956733"/>
              <a:ext cx="1828800" cy="51646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59267</xdr:colOff>
      <xdr:row>4</xdr:row>
      <xdr:rowOff>177801</xdr:rowOff>
    </xdr:from>
    <xdr:to>
      <xdr:col>7</xdr:col>
      <xdr:colOff>516465</xdr:colOff>
      <xdr:row>31</xdr:row>
      <xdr:rowOff>50801</xdr:rowOff>
    </xdr:to>
    <xdr:graphicFrame macro="">
      <xdr:nvGraphicFramePr>
        <xdr:cNvPr id="9" name="Chart 8">
          <a:extLst>
            <a:ext uri="{FF2B5EF4-FFF2-40B4-BE49-F238E27FC236}">
              <a16:creationId xmlns:a16="http://schemas.microsoft.com/office/drawing/2014/main" id="{27363F6F-248B-4901-9227-A8FE23503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SHEKHAWAT" refreshedDate="46091.916135069441" createdVersion="8" refreshedVersion="8" minRefreshableVersion="3" recordCount="440" xr:uid="{FCB017DC-D5A9-44C9-A9A5-BFFBCAEBF8B8}">
  <cacheSource type="worksheet">
    <worksheetSource ref="A1:M441" sheet="DATA"/>
  </cacheSource>
  <cacheFields count="13">
    <cacheField name="webscraperorder" numFmtId="0">
      <sharedItems containsSemiMixedTypes="0" containsString="0" containsNumber="1" containsInteger="1" minValue="1754309573" maxValue="1754310861"/>
    </cacheField>
    <cacheField name="ID" numFmtId="0">
      <sharedItems containsSemiMixedTypes="0" containsString="0" containsNumber="1" containsInteger="1" minValue="1" maxValue="440"/>
    </cacheField>
    <cacheField name="Plant Name" numFmtId="0">
      <sharedItems count="175">
        <s v="Oxygreenplant Areca Palm"/>
        <s v="Bijaya Online Store Areca Palm"/>
        <s v="UGAOO Variegated Money Plant"/>
        <s v="UGAOO Golden Money Plant"/>
        <s v="PLANTTOOZS Clove Plant"/>
        <s v="K,M.GREEN Areca Palm"/>
        <s v="ABEFARIYA ZZ Plant"/>
        <s v="EliteGreen Clove Plant"/>
        <s v="UGAOO Jade Plant"/>
        <s v="Cloud Farm Dracaena Plant"/>
        <s v="ABEFARIYA Areca Palm"/>
        <s v="UGAOO Njoy Money Plant"/>
        <s v="Mohomaya Areca Palm"/>
        <s v="Cloud Farm Clove Plant"/>
        <s v="ALG Clove Plant"/>
        <s v="Oxygreenplant Clove Plant"/>
        <s v="Cloud Farm Baugainvillea Plant"/>
        <s v="ABEFARIYA Clove Plant"/>
        <s v="AloGardening Rubber Tree"/>
        <s v="areca palm Areca Palm"/>
        <s v="GreenyOn Clove Plant"/>
        <s v="GreensFord ZZ Plant"/>
        <s v="Globalplants Areca Palm"/>
        <s v="Cloud Farm Pistachio Plant"/>
        <s v="UGAOO Jade Plant, Variegated Money Plant, Golden Money ..."/>
        <s v="Oxygreenplant Anthurium Plant"/>
        <s v="sspykrts Ficus Bonsai"/>
        <s v="UGAOO Areca Palm"/>
        <s v="ABEFARIYA Areca Palm, Areca Palm"/>
        <s v="FSK Clove Plant"/>
        <s v="Cloud Farm ZZ Plant"/>
        <s v="PB REBA PLANT Areca Plam"/>
        <s v="Oxygreenplant ZZ Plant"/>
        <s v="NDS Areca Palm"/>
        <s v="FasonGreen Areca Palm"/>
        <s v="PLANTTOOZS China Palm Plant"/>
        <s v="pb mandira plant Areca Palm"/>
        <s v="AloGardening Areca Palm"/>
        <s v="ABC Areca Palm"/>
        <s v="Darjeeling Planters Jackfruit Plant"/>
        <s v="KPL BERRY PLANT Blackberry Lily Plant"/>
        <s v="MAHAMAYA A TO Z Tuberose/Rajnigandha Plant"/>
        <s v="KPL SWEET BASIL Sweet Basil Plant"/>
        <s v="greenhousestore Portulaca Plant"/>
        <s v="Mohomaya Custard Apple Plant"/>
        <s v="Samarthgreens Apple Plant"/>
        <s v="e generix Betel Nut/Supari Plant"/>
        <s v="CHILLATAI Lily Plant"/>
        <s v="GULMOHAR Royal Poinciana Plant"/>
        <s v="Cloud Farm Dragon Tree"/>
        <s v="Aquinnah Chiku Plant"/>
        <s v="Cloud Farm Jackfruit Plant"/>
        <s v="HERBALISM Jaboticaba Plant"/>
        <s v="langda mango Mango Plant"/>
        <s v="Tha live root hanging jelly Indian Snakeroot Plant"/>
        <s v="Oxygreenplant Tabebuia rosea"/>
        <s v="Aquinnah Kiwi Plant"/>
        <s v="Cloud Farm Rosemary Plant"/>
        <s v="LaughEarth Lemon Plant"/>
        <s v="Jiffy Plants Curtain Creeper Plant"/>
        <s v="BDSresolve Sarpagandha Plant"/>
        <s v="RudraECOM Cherry Fruit Plant"/>
        <s v="Greensolution Jade Plant"/>
        <s v="Biswas Bloom Rose Plant, Rose Apple Plant"/>
        <s v="FSK Kiwi Plant"/>
        <s v="Risenshine Curry Leaf Plant"/>
        <s v="LATOSTAZAS Litchi Plant"/>
        <s v="Gopikananda Berry Plant"/>
        <s v="Ebainz Brazilian Wood"/>
        <s v="EarthAngel Bougainvillea Plant"/>
        <s v="Global Mart Plant Indian Snakeroot Plant"/>
        <s v="greenhousestore Golden Champa Plant"/>
        <s v="Heaven Of Saplings Apple Plant"/>
        <s v="Samarthgreens Banana Plant"/>
        <s v="Cloud Farm Pomegranate Plant"/>
        <s v="Cloud Farm Walnut Plant"/>
        <s v="DOOR TO GARDEN Bay Leaf Plant"/>
        <s v="PlantNature Guava Plant"/>
        <s v="amloki Amla Plant"/>
        <s v="suvo nursary Duranta Plant"/>
        <s v="ABEFARIYA Bougainvillea Plant"/>
        <s v="LATOSTAZAS Lemon Plant"/>
        <s v="Aquinnah Areca Palm"/>
        <s v="Aquinnah Graden Bella Palm Plant"/>
        <s v="greenhousestore Crassula Plant"/>
        <s v="greenhousestore Bel Plant"/>
        <s v="Ukanda Litchi Plant"/>
        <s v="greengrow Baleria Plant"/>
        <s v="Cloud Farm Almond Plant"/>
        <s v="DAIVISH Guava Plant"/>
        <s v="Samarthgreens Shami/Jand Plant"/>
        <s v="AquinnahGaden Dragon Tree"/>
        <s v="FSK Betel Nut/Supari Plant"/>
        <s v="Ayansh Plants Sudarshan Medicinal Plant (Pack of 1, Her..."/>
        <s v="AAM Mango Plant"/>
        <s v="Global Mart Plant Insulin Plant"/>
        <s v="DEBNATH Brahma Kamal Plant"/>
        <s v="PLANTTOOZS Shami/Jand Plant"/>
        <s v="Cloud Farm Ashok Plant"/>
        <s v="Global Mart Plant Mini Brazalian wood"/>
        <s v="UGAOO Aralia Plant"/>
        <s v="PLANTTOOZS Red Sandalwood Plant"/>
        <s v="Unisam Bel patra plant Pot Bel Plant"/>
        <s v="PLANTTOOZS Apple Plant"/>
        <s v="MAITRA AND SONS Betel Nut/Supari Plant"/>
        <s v="Barhloew Rasna Plant"/>
        <s v="MAITRA AND SONS Avocado Plant"/>
        <s v="Plant Paradise Rudraksha Plant"/>
        <s v="FarmStorey Echeveria Plant, Sedum Plant"/>
        <s v="MAITRA AND SONS Peace Lily Plant"/>
        <s v="LaughEarth Custard Apple Plant"/>
        <s v="RUKDA Aloe Vera Plant"/>
        <s v="Mohomaya Mango Plant"/>
        <s v="Cloud Farm Pear Plant"/>
        <s v="AloGardening Mango Plant"/>
        <s v="MondallNursery Oxalis"/>
        <s v="Oxygreenplant Shahtoot/Mulberry Plant"/>
        <s v="Click to purchase Madhu Kamini Plant"/>
        <s v="Aquinnah Black Pepper Plant"/>
        <s v="Krishna all time mango plant Mango Plant"/>
        <s v="Gabbro Crasulla Ovata Plant"/>
        <s v="Mohomaya Hibiscus Plant"/>
        <s v="greenhousestore Coconut Plant"/>
        <s v="Aquinnah Nutmeg Plant"/>
        <s v="Greenium Aglaonema Plant"/>
        <s v="greenhousestore Cashew Apple Plant"/>
        <s v="pomgardening Apple Plant"/>
        <s v="Agroholic Traders Money Plant"/>
        <s v="HYBRID Jambu Bira Plant, Kak Jam Plant, Jamun Plant, Wh..."/>
        <s v="GreenHavenn Mahogany Plant"/>
        <s v="UGAOO Snake Plant"/>
        <s v="PEEPALSFARM Betel Leaf Plant"/>
        <s v="Cloud Farm Jade Plant"/>
        <s v="GreenyOn ZZ Plant"/>
        <s v="Augadh Orange Plant"/>
        <s v="My Dream Nursery Syngonium Plant"/>
        <s v="UGAOO Two Layer Bamboo Plant"/>
        <s v="Oaul Store Areca Plam"/>
        <s v="MATARANURSERY Agarwood Plant"/>
        <s v="Flipkart SmartBuy Two Layer Bamboo Plant"/>
        <s v="Cloud Farm Platycladus/Morpankhi Plant"/>
        <s v="DRACENAPLANT RAJDHANINURSERY Dracaena Plant"/>
        <s v="Decorate The World Areca Palm"/>
        <s v="Exotica HRMN Grafted Apple Plant"/>
        <s v="Cloud Farm Apple Plant"/>
        <s v="Risenshine ZZ Plant"/>
        <s v="APOSOLUARD Baugainvillea Plant"/>
        <s v="UGAOO Three Layer Bamboo Plant"/>
        <s v="Cloud Farm Grapes Plant"/>
        <s v="Cloud Farm Orange Plant"/>
        <s v="Aquinnah ZZ Plant"/>
        <s v="Cloud Farm Guava Plant"/>
        <s v="Cloud Farm Hibiscus Plant"/>
        <s v="Cloud Farm Strawberry Plant"/>
        <s v="LivePlant Syngonium Plant"/>
        <s v="Cloud Farm Parijat/Harsingar Plant"/>
        <s v="GLOBQRO Grape Plant"/>
        <s v="AloGardening Shahtoot/Mulberry Plant"/>
        <s v="AloGardening Guava Plant"/>
        <s v="GIRISHA TRADERS Two Layer Bamboo Plant, Lucky Bamboo St..."/>
        <s v="Cloud Farm Tulsi Plant"/>
        <s v="Cloud Farm Kiwi Plant"/>
        <s v="Cloud Farm Peace Lily Plant"/>
        <s v="Real Nature Two Layer Bamboo Plant"/>
        <s v="Cloud Farm Ficus Plant"/>
        <s v="GrowWithUs Clitoria Ternatea Aparajita Plant, Clitoria ..."/>
        <s v="Cloud Farm Jack Fruit Plant"/>
        <s v="Gabbro Two Layer Bamboo Plant"/>
        <s v="AMBRUZZ Rose Plant"/>
        <s v="Hot Climate Apple Plant"/>
        <s v="AloGardening Adenium Plant"/>
        <s v="Mohomaya Star Fruit Carambola Grafted Plant"/>
        <s v="Risenshine Apple Plant"/>
        <s v="PLANTTOOZS Rose Plant"/>
        <s v="SKDIYA Money Plant"/>
      </sharedItems>
    </cacheField>
    <cacheField name="NAME" numFmtId="0">
      <sharedItems/>
    </cacheField>
    <cacheField name="ORIGINAL PRICE" numFmtId="2">
      <sharedItems containsSemiMixedTypes="0" containsString="0" containsNumber="1" containsInteger="1" minValue="199" maxValue="1999"/>
    </cacheField>
    <cacheField name="SPECIAL PRICE" numFmtId="2">
      <sharedItems containsSemiMixedTypes="0" containsString="0" containsNumber="1" containsInteger="1" minValue="116" maxValue="1011"/>
    </cacheField>
    <cacheField name="DISCOUNT" numFmtId="9">
      <sharedItems containsSemiMixedTypes="0" containsString="0" containsNumber="1" minValue="0.06" maxValue="0.9"/>
    </cacheField>
    <cacheField name="RATING" numFmtId="0">
      <sharedItems containsSemiMixedTypes="0" containsString="0" containsNumber="1" minValue="1" maxValue="5"/>
    </cacheField>
    <cacheField name="PLANT SIZE" numFmtId="0">
      <sharedItems count="4">
        <s v="Medium"/>
        <s v="Small"/>
        <s v="Large"/>
        <s v="" u="1"/>
      </sharedItems>
    </cacheField>
    <cacheField name="TYPE" numFmtId="0">
      <sharedItems count="11">
        <s v="Bonsai"/>
        <s v="Shrub"/>
        <s v="Herb"/>
        <s v="Succulent"/>
        <s v="Air purifier plant"/>
        <s v="Foliage"/>
        <s v="Bamboo"/>
        <s v="Fruit"/>
        <s v="Flower"/>
        <s v="Tree"/>
        <s v="Creepers and Climbers"/>
      </sharedItems>
    </cacheField>
    <cacheField name="LOCATION" numFmtId="0">
      <sharedItems count="3">
        <s v="Outdoor"/>
        <s v="Both"/>
        <s v="Indoor"/>
      </sharedItems>
    </cacheField>
    <cacheField name="BRAND NAME" numFmtId="0">
      <sharedItems count="74">
        <s v="OXYGREENPLANT"/>
        <s v="NELSONnurseryPLANT"/>
        <s v="UGAOO"/>
        <s v="AlaiStore"/>
        <s v="MeeraTaders"/>
        <s v="ABEFARIYA"/>
        <s v="GreenyOn"/>
        <s v="SAPLINGO"/>
        <s v="MOHOMAYA"/>
        <s v="SKYTCOM"/>
        <s v="Storynursery"/>
        <s v="RoyANDRoyTraders"/>
        <s v="CuteLittleTrees"/>
        <s v="PSGARDEN"/>
        <s v="Hadiqa"/>
        <s v="Roofgardens"/>
        <s v="ALOCHUZ"/>
        <s v="AYUSHGREENNURSERY"/>
        <s v="TheEntacloo"/>
        <s v="CloudFarming"/>
        <s v="UkandaGaarden"/>
        <s v="MALLICKENTERPRISES0"/>
        <s v="LituGarden"/>
        <s v="RIMARDMISTU"/>
        <s v="Twinkleplanting"/>
        <s v="PBMANDIRAPLANT"/>
        <s v="NarumanamGarden"/>
        <s v="Barhloew"/>
        <s v="GREENOFGREEN"/>
        <s v="Antraskh"/>
        <s v="THEGREENDOTCOM"/>
        <s v="CHILLATAI"/>
        <s v="OxygenCart"/>
        <s v="RUFLEF"/>
        <s v="shrienterprises01"/>
        <s v="Matanga"/>
        <s v="AFARTIOBINA"/>
        <s v="JiffyPlants"/>
        <s v="NATURESNURSERYY"/>
        <s v="SaplingTales"/>
        <s v="BREEZYBLOOM"/>
        <s v="CultivaEnterprise"/>
        <s v="NALQUITS"/>
        <s v="Digitalgreenpar"/>
        <s v="GARDEN CARE"/>
        <s v="MINATITRADERS"/>
        <s v="HORTILIFE"/>
        <s v="Homegraden"/>
        <s v="PBEVERGREEN"/>
        <s v="DaivishNursery"/>
        <s v="Greentropical"/>
        <s v="Tukitu"/>
        <s v="FarmStorey"/>
        <s v="MAITRAANDSONS"/>
        <s v="SRDEWAN"/>
        <s v="Gabbro"/>
        <s v="GLOBQRO"/>
        <s v="Agacha"/>
        <s v="Greenium"/>
        <s v="Sarkarplantenterprise"/>
        <s v="MAQINPLANTHOUSE"/>
        <s v="MiracleGardenn"/>
        <s v="PLANTTOOZS"/>
        <s v="EarthAngel"/>
        <s v="NirmalNursery"/>
        <s v="AGAMI"/>
        <s v="AredalosGarden"/>
        <s v="APOSOLUARD"/>
        <s v="NiMoj"/>
        <s v="RealNature1"/>
        <s v="LaxmiMatanursery"/>
        <s v="Asvora"/>
        <s v="GOPANURSERY"/>
        <s v="RIDHIMAHALDER"/>
      </sharedItems>
    </cacheField>
    <cacheField name="RETURN" numFmtId="0">
      <sharedItems count="2">
        <s v="No Returns Allowed"/>
        <s v="No Returns Allowed?" u="1"/>
      </sharedItems>
    </cacheField>
  </cacheFields>
  <extLst>
    <ext xmlns:x14="http://schemas.microsoft.com/office/spreadsheetml/2009/9/main" uri="{725AE2AE-9491-48be-B2B4-4EB974FC3084}">
      <x14:pivotCacheDefinition pivotCacheId="1484386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0">
  <r>
    <n v="1754309573"/>
    <n v="1"/>
    <x v="0"/>
    <s v="Oxygreenplant Areca Palm  "/>
    <n v="399"/>
    <n v="199"/>
    <n v="0.5"/>
    <n v="4"/>
    <x v="0"/>
    <x v="0"/>
    <x v="0"/>
    <x v="0"/>
    <x v="0"/>
  </r>
  <r>
    <n v="1754309576"/>
    <n v="2"/>
    <x v="1"/>
    <s v="Bijaya Online Store Areca Palm  "/>
    <n v="299"/>
    <n v="171"/>
    <n v="0.42"/>
    <n v="1.3"/>
    <x v="1"/>
    <x v="0"/>
    <x v="1"/>
    <x v="1"/>
    <x v="0"/>
  </r>
  <r>
    <n v="1754309578"/>
    <n v="3"/>
    <x v="2"/>
    <s v="UGAOO Variegated Money Plant  "/>
    <n v="449"/>
    <n v="384"/>
    <n v="0.14000000000000001"/>
    <n v="4.4000000000000004"/>
    <x v="1"/>
    <x v="1"/>
    <x v="2"/>
    <x v="2"/>
    <x v="0"/>
  </r>
  <r>
    <n v="1754309581"/>
    <n v="4"/>
    <x v="3"/>
    <s v="UGAOO Golden Money Plant  "/>
    <n v="449"/>
    <n v="349"/>
    <n v="0.22"/>
    <n v="4.3"/>
    <x v="1"/>
    <x v="1"/>
    <x v="2"/>
    <x v="2"/>
    <x v="0"/>
  </r>
  <r>
    <n v="1754309584"/>
    <n v="5"/>
    <x v="4"/>
    <s v="PLANTTOOZS Clove Plant  "/>
    <n v="499"/>
    <n v="150"/>
    <n v="0.69"/>
    <n v="4"/>
    <x v="0"/>
    <x v="2"/>
    <x v="0"/>
    <x v="3"/>
    <x v="0"/>
  </r>
  <r>
    <n v="1754309586"/>
    <n v="6"/>
    <x v="5"/>
    <s v="K,M.GREEN Areca Palm  "/>
    <n v="499"/>
    <n v="169"/>
    <n v="0.66"/>
    <n v="3"/>
    <x v="1"/>
    <x v="2"/>
    <x v="1"/>
    <x v="4"/>
    <x v="0"/>
  </r>
  <r>
    <n v="1754309589"/>
    <n v="7"/>
    <x v="6"/>
    <s v="ABEFARIYA ZZ Plant  "/>
    <n v="1500"/>
    <n v="250"/>
    <n v="0.83"/>
    <n v="4"/>
    <x v="1"/>
    <x v="1"/>
    <x v="1"/>
    <x v="5"/>
    <x v="0"/>
  </r>
  <r>
    <n v="1754309591"/>
    <n v="8"/>
    <x v="7"/>
    <s v="EliteGreen Clove Plant  "/>
    <n v="299"/>
    <n v="153"/>
    <n v="0.48"/>
    <n v="2.5"/>
    <x v="1"/>
    <x v="2"/>
    <x v="0"/>
    <x v="3"/>
    <x v="0"/>
  </r>
  <r>
    <n v="1754309594"/>
    <n v="9"/>
    <x v="2"/>
    <s v="UGAOO Variegated Money Plant  "/>
    <n v="449"/>
    <n v="384"/>
    <n v="0.14000000000000001"/>
    <n v="4.4000000000000004"/>
    <x v="1"/>
    <x v="1"/>
    <x v="2"/>
    <x v="2"/>
    <x v="0"/>
  </r>
  <r>
    <n v="1754309596"/>
    <n v="10"/>
    <x v="8"/>
    <s v="UGAOO Jade Plant  "/>
    <n v="499"/>
    <n v="335"/>
    <n v="0.32"/>
    <n v="4"/>
    <x v="1"/>
    <x v="3"/>
    <x v="2"/>
    <x v="2"/>
    <x v="0"/>
  </r>
  <r>
    <n v="1754309599"/>
    <n v="11"/>
    <x v="9"/>
    <s v="Cloud Farm Dracaena Plant  "/>
    <n v="399"/>
    <n v="135"/>
    <n v="0.66"/>
    <n v="4"/>
    <x v="0"/>
    <x v="1"/>
    <x v="0"/>
    <x v="6"/>
    <x v="0"/>
  </r>
  <r>
    <n v="1754309601"/>
    <n v="12"/>
    <x v="10"/>
    <s v="ABEFARIYA Areca Palm  "/>
    <n v="1500"/>
    <n v="160"/>
    <n v="0.89"/>
    <n v="4"/>
    <x v="1"/>
    <x v="4"/>
    <x v="1"/>
    <x v="1"/>
    <x v="0"/>
  </r>
  <r>
    <n v="1754309604"/>
    <n v="13"/>
    <x v="8"/>
    <s v="UGAOO Jade Plant  "/>
    <n v="749"/>
    <n v="516"/>
    <n v="0.31"/>
    <n v="3.6"/>
    <x v="1"/>
    <x v="3"/>
    <x v="2"/>
    <x v="2"/>
    <x v="0"/>
  </r>
  <r>
    <n v="1754309606"/>
    <n v="14"/>
    <x v="11"/>
    <s v="UGAOO Njoy Money Plant  "/>
    <n v="549"/>
    <n v="388"/>
    <n v="0.28999999999999998"/>
    <n v="4.3"/>
    <x v="1"/>
    <x v="5"/>
    <x v="2"/>
    <x v="2"/>
    <x v="0"/>
  </r>
  <r>
    <n v="1754309609"/>
    <n v="15"/>
    <x v="10"/>
    <s v="ABEFARIYA Areca Palm  "/>
    <n v="1300"/>
    <n v="145"/>
    <n v="0.88"/>
    <n v="4"/>
    <x v="1"/>
    <x v="4"/>
    <x v="1"/>
    <x v="7"/>
    <x v="0"/>
  </r>
  <r>
    <n v="1754309611"/>
    <n v="16"/>
    <x v="12"/>
    <s v="Mohomaya Areca Palm  "/>
    <n v="399"/>
    <n v="179"/>
    <n v="0.55000000000000004"/>
    <n v="4"/>
    <x v="1"/>
    <x v="6"/>
    <x v="1"/>
    <x v="8"/>
    <x v="0"/>
  </r>
  <r>
    <n v="1754309614"/>
    <n v="17"/>
    <x v="13"/>
    <s v="Cloud Farm Clove Plant  "/>
    <n v="499"/>
    <n v="142"/>
    <n v="0.71"/>
    <n v="4"/>
    <x v="0"/>
    <x v="2"/>
    <x v="0"/>
    <x v="3"/>
    <x v="0"/>
  </r>
  <r>
    <n v="1754309616"/>
    <n v="18"/>
    <x v="14"/>
    <s v="ALG Clove Plant  "/>
    <n v="565"/>
    <n v="135"/>
    <n v="0.76"/>
    <n v="3.4"/>
    <x v="1"/>
    <x v="2"/>
    <x v="0"/>
    <x v="3"/>
    <x v="0"/>
  </r>
  <r>
    <n v="1754309619"/>
    <n v="19"/>
    <x v="3"/>
    <s v="UGAOO Golden Money Plant  "/>
    <n v="449"/>
    <n v="349"/>
    <n v="0.22"/>
    <n v="4.3"/>
    <x v="1"/>
    <x v="1"/>
    <x v="2"/>
    <x v="2"/>
    <x v="0"/>
  </r>
  <r>
    <n v="1754309621"/>
    <n v="20"/>
    <x v="3"/>
    <s v="UGAOO Golden Money Plant  "/>
    <n v="449"/>
    <n v="349"/>
    <n v="0.22"/>
    <n v="4.3"/>
    <x v="1"/>
    <x v="1"/>
    <x v="2"/>
    <x v="2"/>
    <x v="0"/>
  </r>
  <r>
    <n v="1754309624"/>
    <n v="21"/>
    <x v="15"/>
    <s v="Oxygreenplant Clove Plant  "/>
    <n v="367"/>
    <n v="264"/>
    <n v="0.28000000000000003"/>
    <n v="4"/>
    <x v="0"/>
    <x v="2"/>
    <x v="0"/>
    <x v="0"/>
    <x v="0"/>
  </r>
  <r>
    <n v="1754309626"/>
    <n v="22"/>
    <x v="16"/>
    <s v="Cloud Farm Baugainvillea Plant  "/>
    <n v="399"/>
    <n v="135"/>
    <n v="0.66"/>
    <n v="4"/>
    <x v="0"/>
    <x v="7"/>
    <x v="0"/>
    <x v="6"/>
    <x v="0"/>
  </r>
  <r>
    <n v="1754309629"/>
    <n v="23"/>
    <x v="8"/>
    <s v="UGAOO Jade Plant  "/>
    <n v="499"/>
    <n v="424"/>
    <n v="0.15"/>
    <n v="4.3"/>
    <x v="1"/>
    <x v="3"/>
    <x v="2"/>
    <x v="2"/>
    <x v="0"/>
  </r>
  <r>
    <n v="1754309631"/>
    <n v="24"/>
    <x v="2"/>
    <s v="UGAOO Variegated Money Plant  "/>
    <n v="449"/>
    <n v="359"/>
    <n v="0.2"/>
    <n v="4.4000000000000004"/>
    <x v="1"/>
    <x v="1"/>
    <x v="2"/>
    <x v="2"/>
    <x v="0"/>
  </r>
  <r>
    <n v="1754309634"/>
    <n v="25"/>
    <x v="1"/>
    <s v="Bijaya Online Store Areca Palm  "/>
    <n v="316"/>
    <n v="196"/>
    <n v="0.37"/>
    <n v="2.8"/>
    <x v="1"/>
    <x v="1"/>
    <x v="1"/>
    <x v="9"/>
    <x v="0"/>
  </r>
  <r>
    <n v="1754309636"/>
    <n v="26"/>
    <x v="17"/>
    <s v="ABEFARIYA Clove Plant  "/>
    <n v="599"/>
    <n v="134"/>
    <n v="0.77"/>
    <n v="3.5"/>
    <x v="1"/>
    <x v="2"/>
    <x v="0"/>
    <x v="3"/>
    <x v="0"/>
  </r>
  <r>
    <n v="1754309638"/>
    <n v="27"/>
    <x v="10"/>
    <s v="ABEFARIYA Areca Palm  "/>
    <n v="1300"/>
    <n v="169"/>
    <n v="0.87"/>
    <n v="4"/>
    <x v="1"/>
    <x v="4"/>
    <x v="1"/>
    <x v="10"/>
    <x v="0"/>
  </r>
  <r>
    <n v="1754309641"/>
    <n v="28"/>
    <x v="18"/>
    <s v="AloGardening Rubber Tree  "/>
    <n v="449"/>
    <n v="233"/>
    <n v="0.48"/>
    <n v="4"/>
    <x v="1"/>
    <x v="5"/>
    <x v="1"/>
    <x v="11"/>
    <x v="0"/>
  </r>
  <r>
    <n v="1754309643"/>
    <n v="29"/>
    <x v="8"/>
    <s v="UGAOO Jade Plant  "/>
    <n v="449"/>
    <n v="335"/>
    <n v="0.25"/>
    <n v="4"/>
    <x v="1"/>
    <x v="3"/>
    <x v="2"/>
    <x v="2"/>
    <x v="0"/>
  </r>
  <r>
    <n v="1754309646"/>
    <n v="30"/>
    <x v="8"/>
    <s v="UGAOO Jade Plant  "/>
    <n v="499"/>
    <n v="426"/>
    <n v="0.14000000000000001"/>
    <n v="4.2"/>
    <x v="1"/>
    <x v="3"/>
    <x v="2"/>
    <x v="2"/>
    <x v="0"/>
  </r>
  <r>
    <n v="1754309648"/>
    <n v="31"/>
    <x v="19"/>
    <s v="areca palm Areca Palm  "/>
    <n v="495"/>
    <n v="155"/>
    <n v="0.68"/>
    <n v="4"/>
    <x v="1"/>
    <x v="6"/>
    <x v="1"/>
    <x v="12"/>
    <x v="0"/>
  </r>
  <r>
    <n v="1754309651"/>
    <n v="32"/>
    <x v="6"/>
    <s v="ABEFARIYA ZZ Plant  "/>
    <n v="1500"/>
    <n v="250"/>
    <n v="0.83"/>
    <n v="4"/>
    <x v="1"/>
    <x v="1"/>
    <x v="1"/>
    <x v="5"/>
    <x v="0"/>
  </r>
  <r>
    <n v="1754309653"/>
    <n v="33"/>
    <x v="8"/>
    <s v="UGAOO Jade Plant  "/>
    <n v="499"/>
    <n v="335"/>
    <n v="0.32"/>
    <n v="4"/>
    <x v="1"/>
    <x v="3"/>
    <x v="2"/>
    <x v="2"/>
    <x v="0"/>
  </r>
  <r>
    <n v="1754309656"/>
    <n v="34"/>
    <x v="2"/>
    <s v="UGAOO Variegated Money Plant  "/>
    <n v="445"/>
    <n v="335"/>
    <n v="0.24"/>
    <n v="4.4000000000000004"/>
    <x v="1"/>
    <x v="1"/>
    <x v="2"/>
    <x v="2"/>
    <x v="0"/>
  </r>
  <r>
    <n v="1754309658"/>
    <n v="35"/>
    <x v="10"/>
    <s v="ABEFARIYA Areca Palm  "/>
    <n v="1300"/>
    <n v="137"/>
    <n v="0.89"/>
    <n v="2.4"/>
    <x v="1"/>
    <x v="4"/>
    <x v="1"/>
    <x v="13"/>
    <x v="0"/>
  </r>
  <r>
    <n v="1754309661"/>
    <n v="36"/>
    <x v="20"/>
    <s v="GreenyOn Clove Plant  "/>
    <n v="399"/>
    <n v="135"/>
    <n v="0.66"/>
    <n v="4"/>
    <x v="0"/>
    <x v="2"/>
    <x v="0"/>
    <x v="14"/>
    <x v="0"/>
  </r>
  <r>
    <n v="1754309663"/>
    <n v="37"/>
    <x v="21"/>
    <s v="GreensFord ZZ Plant  "/>
    <n v="399"/>
    <n v="200"/>
    <n v="0.49"/>
    <n v="4"/>
    <x v="1"/>
    <x v="2"/>
    <x v="1"/>
    <x v="15"/>
    <x v="0"/>
  </r>
  <r>
    <n v="1754309666"/>
    <n v="38"/>
    <x v="22"/>
    <s v="Globalplants Areca Palm  "/>
    <n v="369"/>
    <n v="215"/>
    <n v="0.41"/>
    <n v="4"/>
    <x v="1"/>
    <x v="3"/>
    <x v="2"/>
    <x v="16"/>
    <x v="0"/>
  </r>
  <r>
    <n v="1754309668"/>
    <n v="39"/>
    <x v="8"/>
    <s v="UGAOO Jade Plant  "/>
    <n v="495"/>
    <n v="331"/>
    <n v="0.33"/>
    <n v="4.0999999999999996"/>
    <x v="1"/>
    <x v="3"/>
    <x v="2"/>
    <x v="2"/>
    <x v="0"/>
  </r>
  <r>
    <n v="1754309671"/>
    <n v="40"/>
    <x v="8"/>
    <s v="UGAOO Jade Plant  "/>
    <n v="349"/>
    <n v="325"/>
    <n v="0.06"/>
    <n v="4"/>
    <x v="1"/>
    <x v="3"/>
    <x v="2"/>
    <x v="2"/>
    <x v="0"/>
  </r>
  <r>
    <n v="1754309676"/>
    <n v="41"/>
    <x v="23"/>
    <s v="Cloud Farm Pistachio Plant  "/>
    <n v="499"/>
    <n v="145"/>
    <n v="0.7"/>
    <n v="4"/>
    <x v="0"/>
    <x v="7"/>
    <x v="0"/>
    <x v="3"/>
    <x v="0"/>
  </r>
  <r>
    <n v="1754309678"/>
    <n v="42"/>
    <x v="24"/>
    <s v="UGAOO Jade Plant, Variegated Money Plant, Golden Money Plant, Two Layer Bamboo Plant  "/>
    <n v="1999"/>
    <n v="1011"/>
    <n v="0.49"/>
    <n v="4.2"/>
    <x v="1"/>
    <x v="4"/>
    <x v="2"/>
    <x v="2"/>
    <x v="0"/>
  </r>
  <r>
    <n v="1754309681"/>
    <n v="43"/>
    <x v="2"/>
    <s v="UGAOO Variegated Money Plant  "/>
    <n v="449"/>
    <n v="384"/>
    <n v="0.14000000000000001"/>
    <n v="4.4000000000000004"/>
    <x v="1"/>
    <x v="1"/>
    <x v="2"/>
    <x v="2"/>
    <x v="0"/>
  </r>
  <r>
    <n v="1754309684"/>
    <n v="44"/>
    <x v="3"/>
    <s v="UGAOO Golden Money Plant  "/>
    <n v="449"/>
    <n v="349"/>
    <n v="0.22"/>
    <n v="4.3"/>
    <x v="1"/>
    <x v="1"/>
    <x v="2"/>
    <x v="2"/>
    <x v="0"/>
  </r>
  <r>
    <n v="1754309686"/>
    <n v="45"/>
    <x v="25"/>
    <s v="Oxygreenplant Anthurium Plant  "/>
    <n v="351"/>
    <n v="198"/>
    <n v="0.43"/>
    <n v="4"/>
    <x v="1"/>
    <x v="0"/>
    <x v="2"/>
    <x v="0"/>
    <x v="0"/>
  </r>
  <r>
    <n v="1754309689"/>
    <n v="46"/>
    <x v="26"/>
    <s v="sspykrts Ficus Bonsai  "/>
    <n v="499"/>
    <n v="149"/>
    <n v="0.7"/>
    <n v="2.2000000000000002"/>
    <x v="1"/>
    <x v="0"/>
    <x v="2"/>
    <x v="17"/>
    <x v="0"/>
  </r>
  <r>
    <n v="1754309691"/>
    <n v="47"/>
    <x v="27"/>
    <s v="UGAOO Areca Palm  "/>
    <n v="799"/>
    <n v="454"/>
    <n v="0.43"/>
    <n v="4.2"/>
    <x v="0"/>
    <x v="6"/>
    <x v="2"/>
    <x v="2"/>
    <x v="0"/>
  </r>
  <r>
    <n v="1754309694"/>
    <n v="48"/>
    <x v="1"/>
    <s v="Bijaya Online Store Areca Palm  "/>
    <n v="299"/>
    <n v="188"/>
    <n v="0.37"/>
    <n v="1.7"/>
    <x v="1"/>
    <x v="0"/>
    <x v="1"/>
    <x v="18"/>
    <x v="0"/>
  </r>
  <r>
    <n v="1754309696"/>
    <n v="49"/>
    <x v="2"/>
    <s v="UGAOO Variegated Money Plant  "/>
    <n v="449"/>
    <n v="384"/>
    <n v="0.14000000000000001"/>
    <n v="4.4000000000000004"/>
    <x v="1"/>
    <x v="1"/>
    <x v="2"/>
    <x v="2"/>
    <x v="0"/>
  </r>
  <r>
    <n v="1754309699"/>
    <n v="50"/>
    <x v="8"/>
    <s v="UGAOO Jade Plant  "/>
    <n v="499"/>
    <n v="335"/>
    <n v="0.32"/>
    <n v="4"/>
    <x v="1"/>
    <x v="3"/>
    <x v="2"/>
    <x v="2"/>
    <x v="0"/>
  </r>
  <r>
    <n v="1754309701"/>
    <n v="51"/>
    <x v="28"/>
    <s v="ABEFARIYA Areca Palm, Areca Palm  "/>
    <n v="1482"/>
    <n v="149"/>
    <n v="0.89"/>
    <n v="4"/>
    <x v="1"/>
    <x v="4"/>
    <x v="1"/>
    <x v="1"/>
    <x v="0"/>
  </r>
  <r>
    <n v="1754309704"/>
    <n v="52"/>
    <x v="13"/>
    <s v="Cloud Farm Clove Plant  "/>
    <n v="499"/>
    <n v="132"/>
    <n v="0.73"/>
    <n v="4"/>
    <x v="0"/>
    <x v="2"/>
    <x v="1"/>
    <x v="19"/>
    <x v="0"/>
  </r>
  <r>
    <n v="1754309706"/>
    <n v="53"/>
    <x v="8"/>
    <s v="UGAOO Jade Plant  "/>
    <n v="749"/>
    <n v="516"/>
    <n v="0.31"/>
    <n v="3.6"/>
    <x v="1"/>
    <x v="3"/>
    <x v="2"/>
    <x v="2"/>
    <x v="0"/>
  </r>
  <r>
    <n v="1754309709"/>
    <n v="54"/>
    <x v="11"/>
    <s v="UGAOO Njoy Money Plant  "/>
    <n v="549"/>
    <n v="388"/>
    <n v="0.28999999999999998"/>
    <n v="4.3"/>
    <x v="1"/>
    <x v="5"/>
    <x v="2"/>
    <x v="2"/>
    <x v="0"/>
  </r>
  <r>
    <n v="1754309711"/>
    <n v="55"/>
    <x v="0"/>
    <s v="Oxygreenplant Areca Palm  "/>
    <n v="398"/>
    <n v="216"/>
    <n v="0.45"/>
    <n v="4"/>
    <x v="0"/>
    <x v="2"/>
    <x v="1"/>
    <x v="0"/>
    <x v="0"/>
  </r>
  <r>
    <n v="1754309713"/>
    <n v="56"/>
    <x v="29"/>
    <s v="FSK Clove Plant  "/>
    <n v="499"/>
    <n v="144"/>
    <n v="0.71"/>
    <n v="2.6"/>
    <x v="0"/>
    <x v="2"/>
    <x v="0"/>
    <x v="6"/>
    <x v="0"/>
  </r>
  <r>
    <n v="1754309716"/>
    <n v="57"/>
    <x v="30"/>
    <s v="Cloud Farm ZZ Plant  "/>
    <n v="299"/>
    <n v="145"/>
    <n v="0.51"/>
    <n v="1.7"/>
    <x v="1"/>
    <x v="0"/>
    <x v="1"/>
    <x v="3"/>
    <x v="0"/>
  </r>
  <r>
    <n v="1754309719"/>
    <n v="58"/>
    <x v="31"/>
    <s v="PB REBA PLANT Areca Plam  "/>
    <n v="399"/>
    <n v="165"/>
    <n v="0.57999999999999996"/>
    <n v="4"/>
    <x v="0"/>
    <x v="6"/>
    <x v="1"/>
    <x v="20"/>
    <x v="0"/>
  </r>
  <r>
    <n v="1754309721"/>
    <n v="59"/>
    <x v="3"/>
    <s v="UGAOO Golden Money Plant  "/>
    <n v="449"/>
    <n v="349"/>
    <n v="0.22"/>
    <n v="4.3"/>
    <x v="1"/>
    <x v="1"/>
    <x v="2"/>
    <x v="2"/>
    <x v="0"/>
  </r>
  <r>
    <n v="1754309724"/>
    <n v="60"/>
    <x v="3"/>
    <s v="UGAOO Golden Money Plant  "/>
    <n v="449"/>
    <n v="349"/>
    <n v="0.22"/>
    <n v="4.3"/>
    <x v="1"/>
    <x v="1"/>
    <x v="2"/>
    <x v="2"/>
    <x v="0"/>
  </r>
  <r>
    <n v="1754309726"/>
    <n v="61"/>
    <x v="32"/>
    <s v="Oxygreenplant ZZ Plant  "/>
    <n v="367"/>
    <n v="189"/>
    <n v="0.48"/>
    <n v="4"/>
    <x v="0"/>
    <x v="2"/>
    <x v="1"/>
    <x v="0"/>
    <x v="0"/>
  </r>
  <r>
    <n v="1754309729"/>
    <n v="62"/>
    <x v="10"/>
    <s v="ABEFARIYA Areca Palm  "/>
    <n v="1250"/>
    <n v="149"/>
    <n v="0.88"/>
    <n v="4"/>
    <x v="1"/>
    <x v="4"/>
    <x v="1"/>
    <x v="21"/>
    <x v="0"/>
  </r>
  <r>
    <n v="1754309731"/>
    <n v="63"/>
    <x v="8"/>
    <s v="UGAOO Jade Plant  "/>
    <n v="499"/>
    <n v="424"/>
    <n v="0.15"/>
    <n v="4.3"/>
    <x v="1"/>
    <x v="3"/>
    <x v="2"/>
    <x v="2"/>
    <x v="0"/>
  </r>
  <r>
    <n v="1754309734"/>
    <n v="64"/>
    <x v="2"/>
    <s v="UGAOO Variegated Money Plant  "/>
    <n v="449"/>
    <n v="359"/>
    <n v="0.2"/>
    <n v="4.4000000000000004"/>
    <x v="1"/>
    <x v="1"/>
    <x v="2"/>
    <x v="2"/>
    <x v="0"/>
  </r>
  <r>
    <n v="1754309736"/>
    <n v="65"/>
    <x v="31"/>
    <s v="PB REBA PLANT Areca Plam  "/>
    <n v="299"/>
    <n v="149"/>
    <n v="0.5"/>
    <n v="4"/>
    <x v="0"/>
    <x v="6"/>
    <x v="1"/>
    <x v="22"/>
    <x v="0"/>
  </r>
  <r>
    <n v="1754309739"/>
    <n v="66"/>
    <x v="33"/>
    <s v="NDS Areca Palm  "/>
    <n v="370"/>
    <n v="188"/>
    <n v="0.49"/>
    <n v="3"/>
    <x v="1"/>
    <x v="5"/>
    <x v="2"/>
    <x v="23"/>
    <x v="0"/>
  </r>
  <r>
    <n v="1754309741"/>
    <n v="67"/>
    <x v="13"/>
    <s v="Cloud Farm Clove Plant  "/>
    <n v="399"/>
    <n v="135"/>
    <n v="0.66"/>
    <n v="4"/>
    <x v="0"/>
    <x v="2"/>
    <x v="1"/>
    <x v="6"/>
    <x v="0"/>
  </r>
  <r>
    <n v="1754309743"/>
    <n v="68"/>
    <x v="34"/>
    <s v="FasonGreen Areca Palm  "/>
    <n v="199"/>
    <n v="149"/>
    <n v="0.25"/>
    <n v="2.2000000000000002"/>
    <x v="1"/>
    <x v="0"/>
    <x v="0"/>
    <x v="12"/>
    <x v="0"/>
  </r>
  <r>
    <n v="1754309746"/>
    <n v="69"/>
    <x v="8"/>
    <s v="UGAOO Jade Plant  "/>
    <n v="449"/>
    <n v="335"/>
    <n v="0.25"/>
    <n v="4"/>
    <x v="1"/>
    <x v="3"/>
    <x v="2"/>
    <x v="2"/>
    <x v="0"/>
  </r>
  <r>
    <n v="1754309748"/>
    <n v="70"/>
    <x v="8"/>
    <s v="UGAOO Jade Plant  "/>
    <n v="499"/>
    <n v="426"/>
    <n v="0.14000000000000001"/>
    <n v="4.2"/>
    <x v="1"/>
    <x v="3"/>
    <x v="2"/>
    <x v="2"/>
    <x v="0"/>
  </r>
  <r>
    <n v="1754309751"/>
    <n v="71"/>
    <x v="35"/>
    <s v="PLANTTOOZS China Palm Plant  "/>
    <n v="499"/>
    <n v="200"/>
    <n v="0.59"/>
    <n v="4"/>
    <x v="1"/>
    <x v="6"/>
    <x v="1"/>
    <x v="24"/>
    <x v="0"/>
  </r>
  <r>
    <n v="1754309753"/>
    <n v="72"/>
    <x v="36"/>
    <s v="pb mandira plant Areca Palm  "/>
    <n v="399"/>
    <n v="277"/>
    <n v="0.3"/>
    <n v="4"/>
    <x v="0"/>
    <x v="6"/>
    <x v="1"/>
    <x v="25"/>
    <x v="0"/>
  </r>
  <r>
    <n v="1754309756"/>
    <n v="73"/>
    <x v="8"/>
    <s v="UGAOO Jade Plant  "/>
    <n v="499"/>
    <n v="335"/>
    <n v="0.32"/>
    <n v="4"/>
    <x v="1"/>
    <x v="3"/>
    <x v="2"/>
    <x v="2"/>
    <x v="0"/>
  </r>
  <r>
    <n v="1754309758"/>
    <n v="74"/>
    <x v="2"/>
    <s v="UGAOO Variegated Money Plant  "/>
    <n v="445"/>
    <n v="335"/>
    <n v="0.24"/>
    <n v="4.4000000000000004"/>
    <x v="1"/>
    <x v="1"/>
    <x v="2"/>
    <x v="2"/>
    <x v="0"/>
  </r>
  <r>
    <n v="1754309761"/>
    <n v="75"/>
    <x v="10"/>
    <s v="ABEFARIYA Areca Palm  "/>
    <n v="1493"/>
    <n v="169"/>
    <n v="0.88"/>
    <n v="4"/>
    <x v="1"/>
    <x v="4"/>
    <x v="1"/>
    <x v="1"/>
    <x v="0"/>
  </r>
  <r>
    <n v="1754309763"/>
    <n v="76"/>
    <x v="37"/>
    <s v="AloGardening Areca Palm  "/>
    <n v="399"/>
    <n v="207"/>
    <n v="0.48"/>
    <n v="4"/>
    <x v="1"/>
    <x v="5"/>
    <x v="1"/>
    <x v="11"/>
    <x v="0"/>
  </r>
  <r>
    <n v="1754309766"/>
    <n v="77"/>
    <x v="38"/>
    <s v="ABC Areca Palm  "/>
    <n v="300"/>
    <n v="149"/>
    <n v="0.5"/>
    <n v="1.8"/>
    <x v="0"/>
    <x v="6"/>
    <x v="1"/>
    <x v="26"/>
    <x v="0"/>
  </r>
  <r>
    <n v="1754309768"/>
    <n v="78"/>
    <x v="36"/>
    <s v="pb mandira plant Areca Palm  "/>
    <n v="299"/>
    <n v="224"/>
    <n v="0.25"/>
    <n v="4"/>
    <x v="0"/>
    <x v="5"/>
    <x v="1"/>
    <x v="25"/>
    <x v="0"/>
  </r>
  <r>
    <n v="1754309771"/>
    <n v="79"/>
    <x v="8"/>
    <s v="UGAOO Jade Plant  "/>
    <n v="495"/>
    <n v="331"/>
    <n v="0.33"/>
    <n v="4.0999999999999996"/>
    <x v="1"/>
    <x v="3"/>
    <x v="2"/>
    <x v="2"/>
    <x v="0"/>
  </r>
  <r>
    <n v="1754309773"/>
    <n v="80"/>
    <x v="8"/>
    <s v="UGAOO Jade Plant  "/>
    <n v="349"/>
    <n v="325"/>
    <n v="0.06"/>
    <n v="4"/>
    <x v="1"/>
    <x v="3"/>
    <x v="2"/>
    <x v="2"/>
    <x v="0"/>
  </r>
  <r>
    <n v="1754309779"/>
    <n v="81"/>
    <x v="39"/>
    <s v="Darjeeling Planters Jackfruit Plant  "/>
    <n v="399"/>
    <n v="135"/>
    <n v="0.66"/>
    <n v="3.1"/>
    <x v="1"/>
    <x v="7"/>
    <x v="0"/>
    <x v="27"/>
    <x v="0"/>
  </r>
  <r>
    <n v="1754309782"/>
    <n v="82"/>
    <x v="40"/>
    <s v="KPL BERRY PLANT Blackberry Lily Plant  "/>
    <n v="899"/>
    <n v="146"/>
    <n v="0.83"/>
    <n v="2.2999999999999998"/>
    <x v="0"/>
    <x v="7"/>
    <x v="0"/>
    <x v="28"/>
    <x v="0"/>
  </r>
  <r>
    <n v="1754309784"/>
    <n v="83"/>
    <x v="2"/>
    <s v="UGAOO Variegated Money Plant  "/>
    <n v="449"/>
    <n v="384"/>
    <n v="0.14000000000000001"/>
    <n v="4.4000000000000004"/>
    <x v="1"/>
    <x v="1"/>
    <x v="2"/>
    <x v="2"/>
    <x v="0"/>
  </r>
  <r>
    <n v="1754309787"/>
    <n v="84"/>
    <x v="3"/>
    <s v="UGAOO Golden Money Plant  "/>
    <n v="449"/>
    <n v="349"/>
    <n v="0.22"/>
    <n v="4.3"/>
    <x v="1"/>
    <x v="1"/>
    <x v="2"/>
    <x v="2"/>
    <x v="0"/>
  </r>
  <r>
    <n v="1754309790"/>
    <n v="85"/>
    <x v="41"/>
    <s v="MAHAMAYA A TO Z Tuberose/Rajnigandha Plant  "/>
    <n v="1033"/>
    <n v="140"/>
    <n v="0.86"/>
    <n v="4.0999999999999996"/>
    <x v="1"/>
    <x v="8"/>
    <x v="1"/>
    <x v="3"/>
    <x v="0"/>
  </r>
  <r>
    <n v="1754309792"/>
    <n v="86"/>
    <x v="42"/>
    <s v="KPL SWEET BASIL Sweet Basil Plant  "/>
    <n v="700"/>
    <n v="149"/>
    <n v="0.78"/>
    <n v="4"/>
    <x v="0"/>
    <x v="9"/>
    <x v="0"/>
    <x v="22"/>
    <x v="0"/>
  </r>
  <r>
    <n v="1754309795"/>
    <n v="87"/>
    <x v="43"/>
    <s v="greenhousestore Portulaca Plant  "/>
    <n v="599"/>
    <n v="149"/>
    <n v="0.75"/>
    <n v="1"/>
    <x v="1"/>
    <x v="8"/>
    <x v="1"/>
    <x v="29"/>
    <x v="0"/>
  </r>
  <r>
    <n v="1754309798"/>
    <n v="88"/>
    <x v="44"/>
    <s v="Mohomaya Custard Apple Plant  "/>
    <n v="399"/>
    <n v="182"/>
    <n v="0.54"/>
    <n v="1.9"/>
    <x v="1"/>
    <x v="7"/>
    <x v="0"/>
    <x v="23"/>
    <x v="0"/>
  </r>
  <r>
    <n v="1754309801"/>
    <n v="89"/>
    <x v="2"/>
    <s v="UGAOO Variegated Money Plant  "/>
    <n v="449"/>
    <n v="384"/>
    <n v="0.14000000000000001"/>
    <n v="4.4000000000000004"/>
    <x v="1"/>
    <x v="1"/>
    <x v="2"/>
    <x v="2"/>
    <x v="0"/>
  </r>
  <r>
    <n v="1754309803"/>
    <n v="90"/>
    <x v="8"/>
    <s v="UGAOO Jade Plant  "/>
    <n v="499"/>
    <n v="335"/>
    <n v="0.32"/>
    <n v="4"/>
    <x v="1"/>
    <x v="3"/>
    <x v="2"/>
    <x v="2"/>
    <x v="0"/>
  </r>
  <r>
    <n v="1754309806"/>
    <n v="91"/>
    <x v="45"/>
    <s v="Samarthgreens Apple Plant  "/>
    <n v="599"/>
    <n v="135"/>
    <n v="0.77"/>
    <n v="3.6"/>
    <x v="1"/>
    <x v="7"/>
    <x v="0"/>
    <x v="3"/>
    <x v="0"/>
  </r>
  <r>
    <n v="1754309808"/>
    <n v="92"/>
    <x v="46"/>
    <s v="e generix Betel Nut/Supari Plant  "/>
    <n v="299"/>
    <n v="167"/>
    <n v="0.44"/>
    <n v="3.5"/>
    <x v="1"/>
    <x v="7"/>
    <x v="0"/>
    <x v="30"/>
    <x v="0"/>
  </r>
  <r>
    <n v="1754309811"/>
    <n v="93"/>
    <x v="8"/>
    <s v="UGAOO Jade Plant  "/>
    <n v="749"/>
    <n v="516"/>
    <n v="0.31"/>
    <n v="3.6"/>
    <x v="1"/>
    <x v="3"/>
    <x v="2"/>
    <x v="2"/>
    <x v="0"/>
  </r>
  <r>
    <n v="1754309813"/>
    <n v="94"/>
    <x v="11"/>
    <s v="UGAOO Njoy Money Plant  "/>
    <n v="549"/>
    <n v="388"/>
    <n v="0.28999999999999998"/>
    <n v="4.3"/>
    <x v="1"/>
    <x v="5"/>
    <x v="2"/>
    <x v="2"/>
    <x v="0"/>
  </r>
  <r>
    <n v="1754309816"/>
    <n v="95"/>
    <x v="47"/>
    <s v="CHILLATAI Lily Plant  "/>
    <n v="1489"/>
    <n v="528"/>
    <n v="0.64"/>
    <n v="4"/>
    <x v="1"/>
    <x v="2"/>
    <x v="0"/>
    <x v="31"/>
    <x v="0"/>
  </r>
  <r>
    <n v="1754309818"/>
    <n v="96"/>
    <x v="48"/>
    <s v="GULMOHAR Royal Poinciana Plant  "/>
    <n v="369"/>
    <n v="181"/>
    <n v="0.5"/>
    <n v="3.6"/>
    <x v="1"/>
    <x v="8"/>
    <x v="0"/>
    <x v="6"/>
    <x v="0"/>
  </r>
  <r>
    <n v="1754309821"/>
    <n v="97"/>
    <x v="49"/>
    <s v="Cloud Farm Dragon Tree  "/>
    <n v="199"/>
    <n v="147"/>
    <n v="0.26"/>
    <n v="3.6"/>
    <x v="0"/>
    <x v="7"/>
    <x v="0"/>
    <x v="6"/>
    <x v="0"/>
  </r>
  <r>
    <n v="1754309824"/>
    <n v="98"/>
    <x v="50"/>
    <s v="Aquinnah Chiku Plant  "/>
    <n v="499"/>
    <n v="137"/>
    <n v="0.72"/>
    <n v="3.4"/>
    <x v="1"/>
    <x v="7"/>
    <x v="1"/>
    <x v="32"/>
    <x v="0"/>
  </r>
  <r>
    <n v="1754309826"/>
    <n v="99"/>
    <x v="3"/>
    <s v="UGAOO Golden Money Plant  "/>
    <n v="449"/>
    <n v="349"/>
    <n v="0.22"/>
    <n v="4.3"/>
    <x v="1"/>
    <x v="1"/>
    <x v="2"/>
    <x v="2"/>
    <x v="0"/>
  </r>
  <r>
    <n v="1754309829"/>
    <n v="100"/>
    <x v="3"/>
    <s v="UGAOO Golden Money Plant  "/>
    <n v="449"/>
    <n v="349"/>
    <n v="0.22"/>
    <n v="4.3"/>
    <x v="1"/>
    <x v="1"/>
    <x v="2"/>
    <x v="2"/>
    <x v="0"/>
  </r>
  <r>
    <n v="1754309831"/>
    <n v="101"/>
    <x v="51"/>
    <s v="Cloud Farm Jackfruit Plant  "/>
    <n v="399"/>
    <n v="145"/>
    <n v="0.63"/>
    <n v="3.3"/>
    <x v="0"/>
    <x v="7"/>
    <x v="0"/>
    <x v="3"/>
    <x v="0"/>
  </r>
  <r>
    <n v="1754309833"/>
    <n v="102"/>
    <x v="52"/>
    <s v="HERBALISM Jaboticaba Plant  "/>
    <n v="999"/>
    <n v="492"/>
    <n v="0.5"/>
    <n v="3.6"/>
    <x v="1"/>
    <x v="8"/>
    <x v="2"/>
    <x v="18"/>
    <x v="0"/>
  </r>
  <r>
    <n v="1754309836"/>
    <n v="103"/>
    <x v="8"/>
    <s v="UGAOO Jade Plant  "/>
    <n v="499"/>
    <n v="424"/>
    <n v="0.15"/>
    <n v="4.3"/>
    <x v="1"/>
    <x v="3"/>
    <x v="2"/>
    <x v="2"/>
    <x v="0"/>
  </r>
  <r>
    <n v="1754309839"/>
    <n v="104"/>
    <x v="2"/>
    <s v="UGAOO Variegated Money Plant  "/>
    <n v="449"/>
    <n v="359"/>
    <n v="0.2"/>
    <n v="4.4000000000000004"/>
    <x v="1"/>
    <x v="1"/>
    <x v="2"/>
    <x v="2"/>
    <x v="0"/>
  </r>
  <r>
    <n v="1754309841"/>
    <n v="105"/>
    <x v="53"/>
    <s v="langda mango Mango Plant  "/>
    <n v="250"/>
    <n v="191"/>
    <n v="0.23"/>
    <n v="3.5"/>
    <x v="1"/>
    <x v="7"/>
    <x v="0"/>
    <x v="33"/>
    <x v="0"/>
  </r>
  <r>
    <n v="1754309844"/>
    <n v="106"/>
    <x v="54"/>
    <s v="Tha live root hanging jelly Indian Snakeroot Plant  "/>
    <n v="560"/>
    <n v="205"/>
    <n v="0.63"/>
    <n v="3.4"/>
    <x v="1"/>
    <x v="3"/>
    <x v="1"/>
    <x v="34"/>
    <x v="0"/>
  </r>
  <r>
    <n v="1754309846"/>
    <n v="107"/>
    <x v="55"/>
    <s v="Oxygreenplant Tabebuia rosea  "/>
    <n v="499"/>
    <n v="180"/>
    <n v="0.63"/>
    <n v="3.6"/>
    <x v="1"/>
    <x v="8"/>
    <x v="0"/>
    <x v="35"/>
    <x v="0"/>
  </r>
  <r>
    <n v="1754309849"/>
    <n v="108"/>
    <x v="56"/>
    <s v="Aquinnah Kiwi Plant  "/>
    <n v="499"/>
    <n v="142"/>
    <n v="0.71"/>
    <n v="3.3"/>
    <x v="1"/>
    <x v="7"/>
    <x v="1"/>
    <x v="19"/>
    <x v="0"/>
  </r>
  <r>
    <n v="1754309852"/>
    <n v="109"/>
    <x v="8"/>
    <s v="UGAOO Jade Plant  "/>
    <n v="449"/>
    <n v="335"/>
    <n v="0.25"/>
    <n v="4"/>
    <x v="1"/>
    <x v="3"/>
    <x v="2"/>
    <x v="2"/>
    <x v="0"/>
  </r>
  <r>
    <n v="1754309854"/>
    <n v="110"/>
    <x v="8"/>
    <s v="UGAOO Jade Plant  "/>
    <n v="499"/>
    <n v="426"/>
    <n v="0.14000000000000001"/>
    <n v="4.2"/>
    <x v="1"/>
    <x v="3"/>
    <x v="2"/>
    <x v="2"/>
    <x v="0"/>
  </r>
  <r>
    <n v="1754309857"/>
    <n v="111"/>
    <x v="57"/>
    <s v="Cloud Farm Rosemary Plant  "/>
    <n v="499"/>
    <n v="172"/>
    <n v="0.65"/>
    <n v="4"/>
    <x v="0"/>
    <x v="4"/>
    <x v="2"/>
    <x v="3"/>
    <x v="0"/>
  </r>
  <r>
    <n v="1754309859"/>
    <n v="112"/>
    <x v="58"/>
    <s v="LaughEarth Lemon Plant  "/>
    <n v="499"/>
    <n v="130"/>
    <n v="0.73"/>
    <n v="3.4"/>
    <x v="0"/>
    <x v="7"/>
    <x v="0"/>
    <x v="36"/>
    <x v="0"/>
  </r>
  <r>
    <n v="1754309861"/>
    <n v="113"/>
    <x v="8"/>
    <s v="UGAOO Jade Plant  "/>
    <n v="499"/>
    <n v="335"/>
    <n v="0.32"/>
    <n v="4"/>
    <x v="1"/>
    <x v="3"/>
    <x v="2"/>
    <x v="2"/>
    <x v="0"/>
  </r>
  <r>
    <n v="1754309864"/>
    <n v="114"/>
    <x v="2"/>
    <s v="UGAOO Variegated Money Plant  "/>
    <n v="445"/>
    <n v="335"/>
    <n v="0.24"/>
    <n v="4.4000000000000004"/>
    <x v="1"/>
    <x v="1"/>
    <x v="2"/>
    <x v="2"/>
    <x v="0"/>
  </r>
  <r>
    <n v="1754309866"/>
    <n v="115"/>
    <x v="59"/>
    <s v="Jiffy Plants Curtain Creeper Plant  "/>
    <n v="449"/>
    <n v="253"/>
    <n v="0.43"/>
    <n v="3.7"/>
    <x v="1"/>
    <x v="10"/>
    <x v="0"/>
    <x v="37"/>
    <x v="0"/>
  </r>
  <r>
    <n v="1754309869"/>
    <n v="116"/>
    <x v="60"/>
    <s v="BDSresolve Sarpagandha Plant  "/>
    <n v="999"/>
    <n v="179"/>
    <n v="0.82"/>
    <n v="4"/>
    <x v="0"/>
    <x v="9"/>
    <x v="0"/>
    <x v="38"/>
    <x v="0"/>
  </r>
  <r>
    <n v="1754309872"/>
    <n v="117"/>
    <x v="61"/>
    <s v="RudraECOM Cherry Fruit Plant  "/>
    <n v="659"/>
    <n v="121"/>
    <n v="0.81"/>
    <n v="3.5"/>
    <x v="1"/>
    <x v="7"/>
    <x v="0"/>
    <x v="32"/>
    <x v="0"/>
  </r>
  <r>
    <n v="1754309874"/>
    <n v="118"/>
    <x v="62"/>
    <s v="Greensolution Jade Plant  "/>
    <n v="399"/>
    <n v="169"/>
    <n v="0.56999999999999995"/>
    <n v="4"/>
    <x v="0"/>
    <x v="3"/>
    <x v="1"/>
    <x v="39"/>
    <x v="0"/>
  </r>
  <r>
    <n v="1754309877"/>
    <n v="119"/>
    <x v="8"/>
    <s v="UGAOO Jade Plant  "/>
    <n v="495"/>
    <n v="331"/>
    <n v="0.33"/>
    <n v="4.0999999999999996"/>
    <x v="1"/>
    <x v="3"/>
    <x v="2"/>
    <x v="2"/>
    <x v="0"/>
  </r>
  <r>
    <n v="1754309879"/>
    <n v="120"/>
    <x v="8"/>
    <s v="UGAOO Jade Plant  "/>
    <n v="349"/>
    <n v="325"/>
    <n v="0.06"/>
    <n v="4"/>
    <x v="1"/>
    <x v="3"/>
    <x v="2"/>
    <x v="2"/>
    <x v="0"/>
  </r>
  <r>
    <n v="1754309884"/>
    <n v="121"/>
    <x v="63"/>
    <s v="Biswas Bloom Rose Plant, Rose Apple Plant  "/>
    <n v="299"/>
    <n v="139"/>
    <n v="0.53"/>
    <n v="4"/>
    <x v="2"/>
    <x v="8"/>
    <x v="1"/>
    <x v="40"/>
    <x v="0"/>
  </r>
  <r>
    <n v="1754309887"/>
    <n v="122"/>
    <x v="64"/>
    <s v="FSK Kiwi Plant  "/>
    <n v="499"/>
    <n v="140"/>
    <n v="0.71"/>
    <n v="3.5"/>
    <x v="0"/>
    <x v="7"/>
    <x v="0"/>
    <x v="41"/>
    <x v="0"/>
  </r>
  <r>
    <n v="1754309889"/>
    <n v="123"/>
    <x v="2"/>
    <s v="UGAOO Variegated Money Plant  "/>
    <n v="449"/>
    <n v="384"/>
    <n v="0.14000000000000001"/>
    <n v="4.4000000000000004"/>
    <x v="1"/>
    <x v="1"/>
    <x v="2"/>
    <x v="2"/>
    <x v="0"/>
  </r>
  <r>
    <n v="1754309892"/>
    <n v="124"/>
    <x v="3"/>
    <s v="UGAOO Golden Money Plant  "/>
    <n v="449"/>
    <n v="349"/>
    <n v="0.22"/>
    <n v="4.3"/>
    <x v="1"/>
    <x v="1"/>
    <x v="2"/>
    <x v="2"/>
    <x v="0"/>
  </r>
  <r>
    <n v="1754309894"/>
    <n v="125"/>
    <x v="65"/>
    <s v="Risenshine Curry Leaf Plant  "/>
    <n v="599"/>
    <n v="135"/>
    <n v="0.77"/>
    <n v="4.0999999999999996"/>
    <x v="1"/>
    <x v="2"/>
    <x v="0"/>
    <x v="3"/>
    <x v="0"/>
  </r>
  <r>
    <n v="1754309897"/>
    <n v="126"/>
    <x v="30"/>
    <s v="Cloud Farm ZZ Plant  "/>
    <n v="299"/>
    <n v="158"/>
    <n v="0.47"/>
    <n v="3.6"/>
    <x v="1"/>
    <x v="7"/>
    <x v="0"/>
    <x v="6"/>
    <x v="0"/>
  </r>
  <r>
    <n v="1754309899"/>
    <n v="127"/>
    <x v="66"/>
    <s v="LATOSTAZAS Litchi Plant  "/>
    <n v="399"/>
    <n v="210"/>
    <n v="0.47"/>
    <n v="3.2"/>
    <x v="1"/>
    <x v="7"/>
    <x v="0"/>
    <x v="42"/>
    <x v="0"/>
  </r>
  <r>
    <n v="1754309902"/>
    <n v="128"/>
    <x v="67"/>
    <s v="Gopikananda Berry Plant  "/>
    <n v="799"/>
    <n v="205"/>
    <n v="0.74"/>
    <n v="4"/>
    <x v="1"/>
    <x v="7"/>
    <x v="1"/>
    <x v="3"/>
    <x v="0"/>
  </r>
  <r>
    <n v="1754309905"/>
    <n v="129"/>
    <x v="2"/>
    <s v="UGAOO Variegated Money Plant  "/>
    <n v="449"/>
    <n v="384"/>
    <n v="0.14000000000000001"/>
    <n v="4.4000000000000004"/>
    <x v="1"/>
    <x v="1"/>
    <x v="2"/>
    <x v="2"/>
    <x v="0"/>
  </r>
  <r>
    <n v="1754309907"/>
    <n v="130"/>
    <x v="8"/>
    <s v="UGAOO Jade Plant  "/>
    <n v="499"/>
    <n v="335"/>
    <n v="0.32"/>
    <n v="4"/>
    <x v="1"/>
    <x v="3"/>
    <x v="2"/>
    <x v="2"/>
    <x v="0"/>
  </r>
  <r>
    <n v="1754309910"/>
    <n v="131"/>
    <x v="68"/>
    <s v="Ebainz Brazilian Wood  "/>
    <n v="1200"/>
    <n v="177"/>
    <n v="0.85"/>
    <n v="4"/>
    <x v="0"/>
    <x v="6"/>
    <x v="1"/>
    <x v="3"/>
    <x v="0"/>
  </r>
  <r>
    <n v="1754309912"/>
    <n v="132"/>
    <x v="69"/>
    <s v="EarthAngel Bougainvillea Plant  "/>
    <n v="499"/>
    <n v="177"/>
    <n v="0.64"/>
    <n v="1.8"/>
    <x v="1"/>
    <x v="8"/>
    <x v="0"/>
    <x v="18"/>
    <x v="0"/>
  </r>
  <r>
    <n v="1754309915"/>
    <n v="133"/>
    <x v="8"/>
    <s v="UGAOO Jade Plant  "/>
    <n v="749"/>
    <n v="516"/>
    <n v="0.31"/>
    <n v="3.6"/>
    <x v="1"/>
    <x v="3"/>
    <x v="2"/>
    <x v="2"/>
    <x v="0"/>
  </r>
  <r>
    <n v="1754309926"/>
    <n v="134"/>
    <x v="11"/>
    <s v="UGAOO Njoy Money Plant  "/>
    <n v="549"/>
    <n v="388"/>
    <n v="0.28999999999999998"/>
    <n v="4.3"/>
    <x v="1"/>
    <x v="5"/>
    <x v="2"/>
    <x v="2"/>
    <x v="0"/>
  </r>
  <r>
    <n v="1754309939"/>
    <n v="135"/>
    <x v="70"/>
    <s v="Global Mart Plant Indian Snakeroot Plant  "/>
    <n v="299"/>
    <n v="145"/>
    <n v="0.51"/>
    <n v="3.5"/>
    <x v="1"/>
    <x v="1"/>
    <x v="1"/>
    <x v="43"/>
    <x v="0"/>
  </r>
  <r>
    <n v="1754309942"/>
    <n v="136"/>
    <x v="71"/>
    <s v="greenhousestore Golden Champa Plant  "/>
    <n v="499"/>
    <n v="140"/>
    <n v="0.71"/>
    <n v="3.2"/>
    <x v="1"/>
    <x v="8"/>
    <x v="1"/>
    <x v="6"/>
    <x v="0"/>
  </r>
  <r>
    <n v="1754309944"/>
    <n v="137"/>
    <x v="72"/>
    <s v="Heaven Of Saplings Apple Plant  "/>
    <n v="385"/>
    <n v="140"/>
    <n v="0.63"/>
    <n v="4"/>
    <x v="1"/>
    <x v="7"/>
    <x v="1"/>
    <x v="4"/>
    <x v="0"/>
  </r>
  <r>
    <n v="1754309947"/>
    <n v="138"/>
    <x v="73"/>
    <s v="Samarthgreens Banana Plant  "/>
    <n v="599"/>
    <n v="137"/>
    <n v="0.77"/>
    <n v="4"/>
    <x v="1"/>
    <x v="7"/>
    <x v="1"/>
    <x v="3"/>
    <x v="0"/>
  </r>
  <r>
    <n v="1754309949"/>
    <n v="139"/>
    <x v="3"/>
    <s v="UGAOO Golden Money Plant  "/>
    <n v="449"/>
    <n v="349"/>
    <n v="0.22"/>
    <n v="4.3"/>
    <x v="1"/>
    <x v="1"/>
    <x v="2"/>
    <x v="2"/>
    <x v="0"/>
  </r>
  <r>
    <n v="1754309952"/>
    <n v="140"/>
    <x v="3"/>
    <s v="UGAOO Golden Money Plant  "/>
    <n v="449"/>
    <n v="349"/>
    <n v="0.22"/>
    <n v="4.3"/>
    <x v="1"/>
    <x v="1"/>
    <x v="2"/>
    <x v="2"/>
    <x v="0"/>
  </r>
  <r>
    <n v="1754309954"/>
    <n v="141"/>
    <x v="74"/>
    <s v="Cloud Farm Pomegranate Plant  "/>
    <n v="499"/>
    <n v="142"/>
    <n v="0.71"/>
    <n v="3.3"/>
    <x v="0"/>
    <x v="7"/>
    <x v="0"/>
    <x v="19"/>
    <x v="0"/>
  </r>
  <r>
    <n v="1754309957"/>
    <n v="142"/>
    <x v="75"/>
    <s v="Cloud Farm Walnut Plant  "/>
    <n v="499"/>
    <n v="150"/>
    <n v="0.69"/>
    <n v="3.5"/>
    <x v="0"/>
    <x v="7"/>
    <x v="0"/>
    <x v="3"/>
    <x v="0"/>
  </r>
  <r>
    <n v="1754309960"/>
    <n v="143"/>
    <x v="8"/>
    <s v="UGAOO Jade Plant  "/>
    <n v="499"/>
    <n v="424"/>
    <n v="0.15"/>
    <n v="4.3"/>
    <x v="1"/>
    <x v="3"/>
    <x v="2"/>
    <x v="2"/>
    <x v="0"/>
  </r>
  <r>
    <n v="1754309962"/>
    <n v="144"/>
    <x v="2"/>
    <s v="UGAOO Variegated Money Plant  "/>
    <n v="449"/>
    <n v="359"/>
    <n v="0.2"/>
    <n v="4.4000000000000004"/>
    <x v="1"/>
    <x v="1"/>
    <x v="2"/>
    <x v="2"/>
    <x v="0"/>
  </r>
  <r>
    <n v="1754309964"/>
    <n v="145"/>
    <x v="76"/>
    <s v="DOOR TO GARDEN Bay Leaf Plant  "/>
    <n v="419"/>
    <n v="231"/>
    <n v="0.44"/>
    <n v="3.9"/>
    <x v="1"/>
    <x v="2"/>
    <x v="0"/>
    <x v="44"/>
    <x v="0"/>
  </r>
  <r>
    <n v="1754309967"/>
    <n v="146"/>
    <x v="77"/>
    <s v="PlantNature Guava Plant  "/>
    <n v="999"/>
    <n v="128"/>
    <n v="0.87"/>
    <n v="3.2"/>
    <x v="1"/>
    <x v="7"/>
    <x v="1"/>
    <x v="9"/>
    <x v="0"/>
  </r>
  <r>
    <n v="1754309969"/>
    <n v="147"/>
    <x v="78"/>
    <s v="amloki Amla Plant  "/>
    <n v="500"/>
    <n v="123"/>
    <n v="0.75"/>
    <n v="3.6"/>
    <x v="0"/>
    <x v="7"/>
    <x v="0"/>
    <x v="9"/>
    <x v="0"/>
  </r>
  <r>
    <n v="1754309972"/>
    <n v="148"/>
    <x v="79"/>
    <s v="suvo nursary Duranta Plant  "/>
    <n v="859"/>
    <n v="161"/>
    <n v="0.81"/>
    <n v="3.2"/>
    <x v="1"/>
    <x v="7"/>
    <x v="1"/>
    <x v="45"/>
    <x v="0"/>
  </r>
  <r>
    <n v="1754309975"/>
    <n v="149"/>
    <x v="8"/>
    <s v="UGAOO Jade Plant  "/>
    <n v="449"/>
    <n v="335"/>
    <n v="0.25"/>
    <n v="4"/>
    <x v="1"/>
    <x v="3"/>
    <x v="2"/>
    <x v="2"/>
    <x v="0"/>
  </r>
  <r>
    <n v="1754309977"/>
    <n v="150"/>
    <x v="8"/>
    <s v="UGAOO Jade Plant  "/>
    <n v="499"/>
    <n v="426"/>
    <n v="0.14000000000000001"/>
    <n v="4.2"/>
    <x v="1"/>
    <x v="3"/>
    <x v="2"/>
    <x v="2"/>
    <x v="0"/>
  </r>
  <r>
    <n v="1754309980"/>
    <n v="151"/>
    <x v="80"/>
    <s v="ABEFARIYA Bougainvillea Plant  "/>
    <n v="1420"/>
    <n v="142"/>
    <n v="0.9"/>
    <n v="4"/>
    <x v="1"/>
    <x v="8"/>
    <x v="1"/>
    <x v="46"/>
    <x v="0"/>
  </r>
  <r>
    <n v="1754309982"/>
    <n v="152"/>
    <x v="81"/>
    <s v="LATOSTAZAS Lemon Plant  "/>
    <n v="699"/>
    <n v="121"/>
    <n v="0.82"/>
    <n v="3.9"/>
    <x v="1"/>
    <x v="7"/>
    <x v="0"/>
    <x v="9"/>
    <x v="0"/>
  </r>
  <r>
    <n v="1754309985"/>
    <n v="153"/>
    <x v="8"/>
    <s v="UGAOO Jade Plant  "/>
    <n v="499"/>
    <n v="335"/>
    <n v="0.32"/>
    <n v="4"/>
    <x v="1"/>
    <x v="3"/>
    <x v="2"/>
    <x v="2"/>
    <x v="0"/>
  </r>
  <r>
    <n v="1754309987"/>
    <n v="154"/>
    <x v="2"/>
    <s v="UGAOO Variegated Money Plant  "/>
    <n v="445"/>
    <n v="335"/>
    <n v="0.24"/>
    <n v="4.4000000000000004"/>
    <x v="1"/>
    <x v="1"/>
    <x v="2"/>
    <x v="2"/>
    <x v="0"/>
  </r>
  <r>
    <n v="1754309990"/>
    <n v="155"/>
    <x v="82"/>
    <s v="Aquinnah Areca Palm  "/>
    <n v="299"/>
    <n v="134"/>
    <n v="0.55000000000000004"/>
    <n v="3"/>
    <x v="1"/>
    <x v="2"/>
    <x v="1"/>
    <x v="7"/>
    <x v="0"/>
  </r>
  <r>
    <n v="1754309992"/>
    <n v="156"/>
    <x v="83"/>
    <s v="Aquinnah Graden Bella Palm Plant  "/>
    <n v="489"/>
    <n v="188"/>
    <n v="0.61"/>
    <n v="3.8"/>
    <x v="1"/>
    <x v="5"/>
    <x v="1"/>
    <x v="47"/>
    <x v="0"/>
  </r>
  <r>
    <n v="1754309995"/>
    <n v="157"/>
    <x v="84"/>
    <s v="greenhousestore Crassula Plant  "/>
    <n v="399"/>
    <n v="150"/>
    <n v="0.62"/>
    <n v="3.3"/>
    <x v="1"/>
    <x v="3"/>
    <x v="1"/>
    <x v="48"/>
    <x v="0"/>
  </r>
  <r>
    <n v="1754309999"/>
    <n v="158"/>
    <x v="85"/>
    <s v="greenhousestore Bel Plant  "/>
    <n v="599"/>
    <n v="134"/>
    <n v="0.77"/>
    <n v="3.5"/>
    <x v="1"/>
    <x v="7"/>
    <x v="1"/>
    <x v="6"/>
    <x v="0"/>
  </r>
  <r>
    <n v="1754310002"/>
    <n v="159"/>
    <x v="8"/>
    <s v="UGAOO Jade Plant  "/>
    <n v="495"/>
    <n v="331"/>
    <n v="0.33"/>
    <n v="4.0999999999999996"/>
    <x v="1"/>
    <x v="3"/>
    <x v="2"/>
    <x v="2"/>
    <x v="0"/>
  </r>
  <r>
    <n v="1754310004"/>
    <n v="160"/>
    <x v="8"/>
    <s v="UGAOO Jade Plant  "/>
    <n v="349"/>
    <n v="325"/>
    <n v="0.06"/>
    <n v="4"/>
    <x v="1"/>
    <x v="3"/>
    <x v="2"/>
    <x v="2"/>
    <x v="0"/>
  </r>
  <r>
    <n v="1754310010"/>
    <n v="161"/>
    <x v="86"/>
    <s v="Ukanda Litchi Plant  "/>
    <n v="389"/>
    <n v="149"/>
    <n v="0.61"/>
    <n v="4"/>
    <x v="1"/>
    <x v="7"/>
    <x v="1"/>
    <x v="39"/>
    <x v="0"/>
  </r>
  <r>
    <n v="1754310012"/>
    <n v="162"/>
    <x v="87"/>
    <s v="greengrow Baleria Plant  "/>
    <n v="590"/>
    <n v="147"/>
    <n v="0.75"/>
    <n v="3.5"/>
    <x v="1"/>
    <x v="2"/>
    <x v="0"/>
    <x v="3"/>
    <x v="0"/>
  </r>
  <r>
    <n v="1754310015"/>
    <n v="163"/>
    <x v="2"/>
    <s v="UGAOO Variegated Money Plant  "/>
    <n v="449"/>
    <n v="384"/>
    <n v="0.14000000000000001"/>
    <n v="4.4000000000000004"/>
    <x v="1"/>
    <x v="1"/>
    <x v="2"/>
    <x v="2"/>
    <x v="0"/>
  </r>
  <r>
    <n v="1754310017"/>
    <n v="164"/>
    <x v="3"/>
    <s v="UGAOO Golden Money Plant  "/>
    <n v="449"/>
    <n v="349"/>
    <n v="0.22"/>
    <n v="4.3"/>
    <x v="1"/>
    <x v="1"/>
    <x v="2"/>
    <x v="2"/>
    <x v="0"/>
  </r>
  <r>
    <n v="1754310020"/>
    <n v="165"/>
    <x v="88"/>
    <s v="Cloud Farm Almond Plant  "/>
    <n v="499"/>
    <n v="145"/>
    <n v="0.7"/>
    <n v="3.7"/>
    <x v="1"/>
    <x v="7"/>
    <x v="0"/>
    <x v="3"/>
    <x v="0"/>
  </r>
  <r>
    <n v="1754310022"/>
    <n v="166"/>
    <x v="89"/>
    <s v="DAIVISH Guava Plant  "/>
    <n v="499"/>
    <n v="198"/>
    <n v="0.6"/>
    <n v="3.5"/>
    <x v="1"/>
    <x v="7"/>
    <x v="0"/>
    <x v="49"/>
    <x v="0"/>
  </r>
  <r>
    <n v="1754310025"/>
    <n v="167"/>
    <x v="90"/>
    <s v="Samarthgreens Shami/Jand Plant  "/>
    <n v="599"/>
    <n v="140"/>
    <n v="0.76"/>
    <n v="3.8"/>
    <x v="1"/>
    <x v="2"/>
    <x v="0"/>
    <x v="6"/>
    <x v="0"/>
  </r>
  <r>
    <n v="1754310028"/>
    <n v="168"/>
    <x v="91"/>
    <s v="AquinnahGaden Dragon Tree  "/>
    <n v="489"/>
    <n v="165"/>
    <n v="0.66"/>
    <n v="3.6"/>
    <x v="0"/>
    <x v="7"/>
    <x v="1"/>
    <x v="6"/>
    <x v="0"/>
  </r>
  <r>
    <n v="1754310030"/>
    <n v="169"/>
    <x v="2"/>
    <s v="UGAOO Variegated Money Plant  "/>
    <n v="449"/>
    <n v="384"/>
    <n v="0.14000000000000001"/>
    <n v="4.4000000000000004"/>
    <x v="1"/>
    <x v="1"/>
    <x v="2"/>
    <x v="2"/>
    <x v="0"/>
  </r>
  <r>
    <n v="1754310033"/>
    <n v="170"/>
    <x v="8"/>
    <s v="UGAOO Jade Plant  "/>
    <n v="499"/>
    <n v="335"/>
    <n v="0.32"/>
    <n v="4"/>
    <x v="1"/>
    <x v="3"/>
    <x v="2"/>
    <x v="2"/>
    <x v="0"/>
  </r>
  <r>
    <n v="1754310036"/>
    <n v="171"/>
    <x v="92"/>
    <s v="FSK Betel Nut/Supari Plant  "/>
    <n v="499"/>
    <n v="132"/>
    <n v="0.73"/>
    <n v="3.5"/>
    <x v="0"/>
    <x v="7"/>
    <x v="1"/>
    <x v="6"/>
    <x v="0"/>
  </r>
  <r>
    <n v="1754310047"/>
    <n v="172"/>
    <x v="93"/>
    <s v="Ayansh Plants Sudarshan Medicinal Plant "/>
    <n v="256"/>
    <n v="193"/>
    <n v="0.24"/>
    <n v="3.6"/>
    <x v="1"/>
    <x v="2"/>
    <x v="0"/>
    <x v="6"/>
    <x v="0"/>
  </r>
  <r>
    <n v="1754310051"/>
    <n v="173"/>
    <x v="8"/>
    <s v="UGAOO Jade Plant  "/>
    <n v="749"/>
    <n v="516"/>
    <n v="0.31"/>
    <n v="3.6"/>
    <x v="1"/>
    <x v="3"/>
    <x v="2"/>
    <x v="2"/>
    <x v="0"/>
  </r>
  <r>
    <n v="1754310054"/>
    <n v="174"/>
    <x v="11"/>
    <s v="UGAOO Njoy Money Plant  "/>
    <n v="549"/>
    <n v="388"/>
    <n v="0.28999999999999998"/>
    <n v="4.3"/>
    <x v="1"/>
    <x v="5"/>
    <x v="2"/>
    <x v="2"/>
    <x v="0"/>
  </r>
  <r>
    <n v="1754310056"/>
    <n v="175"/>
    <x v="94"/>
    <s v="AAM Mango Plant  "/>
    <n v="600"/>
    <n v="150"/>
    <n v="0.75"/>
    <n v="5"/>
    <x v="0"/>
    <x v="7"/>
    <x v="0"/>
    <x v="3"/>
    <x v="0"/>
  </r>
  <r>
    <n v="1754310059"/>
    <n v="176"/>
    <x v="95"/>
    <s v="Global Mart Plant Insulin Plant  "/>
    <n v="499"/>
    <n v="139"/>
    <n v="0.72"/>
    <n v="1.6"/>
    <x v="0"/>
    <x v="2"/>
    <x v="1"/>
    <x v="27"/>
    <x v="0"/>
  </r>
  <r>
    <n v="1754310061"/>
    <n v="177"/>
    <x v="96"/>
    <s v="DEBNATH Brahma Kamal Plant  "/>
    <n v="249"/>
    <n v="230"/>
    <n v="7.0000000000000007E-2"/>
    <n v="3.1"/>
    <x v="1"/>
    <x v="8"/>
    <x v="1"/>
    <x v="42"/>
    <x v="0"/>
  </r>
  <r>
    <n v="1754310064"/>
    <n v="178"/>
    <x v="97"/>
    <s v="PLANTTOOZS Shami/Jand Plant  "/>
    <n v="599"/>
    <n v="140"/>
    <n v="0.76"/>
    <n v="3.9"/>
    <x v="1"/>
    <x v="2"/>
    <x v="2"/>
    <x v="43"/>
    <x v="0"/>
  </r>
  <r>
    <n v="1754310066"/>
    <n v="179"/>
    <x v="3"/>
    <s v="UGAOO Golden Money Plant  "/>
    <n v="449"/>
    <n v="349"/>
    <n v="0.22"/>
    <n v="4.3"/>
    <x v="1"/>
    <x v="1"/>
    <x v="2"/>
    <x v="2"/>
    <x v="0"/>
  </r>
  <r>
    <n v="1754310069"/>
    <n v="180"/>
    <x v="3"/>
    <s v="UGAOO Golden Money Plant  "/>
    <n v="449"/>
    <n v="349"/>
    <n v="0.22"/>
    <n v="4.3"/>
    <x v="1"/>
    <x v="1"/>
    <x v="2"/>
    <x v="2"/>
    <x v="0"/>
  </r>
  <r>
    <n v="1754310071"/>
    <n v="181"/>
    <x v="98"/>
    <s v="Cloud Farm Ashok Plant  "/>
    <n v="499"/>
    <n v="155"/>
    <n v="0.68"/>
    <n v="4"/>
    <x v="1"/>
    <x v="9"/>
    <x v="0"/>
    <x v="3"/>
    <x v="0"/>
  </r>
  <r>
    <n v="1754310074"/>
    <n v="182"/>
    <x v="99"/>
    <s v="Global Mart Plant Mini Brazalian wood  "/>
    <n v="499"/>
    <n v="170"/>
    <n v="0.65"/>
    <n v="3.3"/>
    <x v="0"/>
    <x v="6"/>
    <x v="1"/>
    <x v="27"/>
    <x v="0"/>
  </r>
  <r>
    <n v="1754310078"/>
    <n v="183"/>
    <x v="8"/>
    <s v="UGAOO Jade Plant  "/>
    <n v="499"/>
    <n v="424"/>
    <n v="0.15"/>
    <n v="4.3"/>
    <x v="1"/>
    <x v="3"/>
    <x v="2"/>
    <x v="2"/>
    <x v="0"/>
  </r>
  <r>
    <n v="1754310081"/>
    <n v="184"/>
    <x v="2"/>
    <s v="UGAOO Variegated Money Plant  "/>
    <n v="449"/>
    <n v="359"/>
    <n v="0.2"/>
    <n v="4.4000000000000004"/>
    <x v="1"/>
    <x v="1"/>
    <x v="2"/>
    <x v="2"/>
    <x v="0"/>
  </r>
  <r>
    <n v="1754310086"/>
    <n v="185"/>
    <x v="100"/>
    <s v="UGAOO Aralia Plant  "/>
    <n v="499"/>
    <n v="392"/>
    <n v="0.21"/>
    <n v="3.9"/>
    <x v="1"/>
    <x v="5"/>
    <x v="2"/>
    <x v="2"/>
    <x v="0"/>
  </r>
  <r>
    <n v="1754310089"/>
    <n v="186"/>
    <x v="101"/>
    <s v="PLANTTOOZS Red Sandalwood Plant  "/>
    <n v="661"/>
    <n v="140"/>
    <n v="0.78"/>
    <n v="4.3"/>
    <x v="1"/>
    <x v="1"/>
    <x v="0"/>
    <x v="3"/>
    <x v="0"/>
  </r>
  <r>
    <n v="1754310094"/>
    <n v="187"/>
    <x v="102"/>
    <s v="Unisam Bel patra plant Pot Bel Plant  "/>
    <n v="788"/>
    <n v="140"/>
    <n v="0.82"/>
    <n v="3.7"/>
    <x v="1"/>
    <x v="9"/>
    <x v="1"/>
    <x v="50"/>
    <x v="0"/>
  </r>
  <r>
    <n v="1754310097"/>
    <n v="188"/>
    <x v="103"/>
    <s v="PLANTTOOZS Apple Plant  "/>
    <n v="323"/>
    <n v="162"/>
    <n v="0.49"/>
    <n v="3.3"/>
    <x v="0"/>
    <x v="7"/>
    <x v="0"/>
    <x v="51"/>
    <x v="0"/>
  </r>
  <r>
    <n v="1754310101"/>
    <n v="189"/>
    <x v="8"/>
    <s v="UGAOO Jade Plant  "/>
    <n v="449"/>
    <n v="335"/>
    <n v="0.25"/>
    <n v="4"/>
    <x v="1"/>
    <x v="3"/>
    <x v="2"/>
    <x v="2"/>
    <x v="0"/>
  </r>
  <r>
    <n v="1754310105"/>
    <n v="190"/>
    <x v="8"/>
    <s v="UGAOO Jade Plant  "/>
    <n v="499"/>
    <n v="426"/>
    <n v="0.14000000000000001"/>
    <n v="4.2"/>
    <x v="1"/>
    <x v="3"/>
    <x v="2"/>
    <x v="2"/>
    <x v="0"/>
  </r>
  <r>
    <n v="1754310109"/>
    <n v="191"/>
    <x v="104"/>
    <s v="MAITRA AND SONS Betel Nut/Supari Plant  "/>
    <n v="399"/>
    <n v="169"/>
    <n v="0.56999999999999995"/>
    <n v="4"/>
    <x v="0"/>
    <x v="7"/>
    <x v="1"/>
    <x v="39"/>
    <x v="0"/>
  </r>
  <r>
    <n v="1754310116"/>
    <n v="192"/>
    <x v="105"/>
    <s v="Barhloew Rasna Plant  "/>
    <n v="999"/>
    <n v="279"/>
    <n v="0.72"/>
    <n v="4"/>
    <x v="0"/>
    <x v="7"/>
    <x v="1"/>
    <x v="19"/>
    <x v="0"/>
  </r>
  <r>
    <n v="1754310119"/>
    <n v="193"/>
    <x v="8"/>
    <s v="UGAOO Jade Plant  "/>
    <n v="499"/>
    <n v="335"/>
    <n v="0.32"/>
    <n v="4"/>
    <x v="1"/>
    <x v="3"/>
    <x v="2"/>
    <x v="2"/>
    <x v="0"/>
  </r>
  <r>
    <n v="1754310122"/>
    <n v="194"/>
    <x v="2"/>
    <s v="UGAOO Variegated Money Plant  "/>
    <n v="445"/>
    <n v="335"/>
    <n v="0.24"/>
    <n v="4.4000000000000004"/>
    <x v="1"/>
    <x v="1"/>
    <x v="2"/>
    <x v="2"/>
    <x v="0"/>
  </r>
  <r>
    <n v="1754310125"/>
    <n v="195"/>
    <x v="106"/>
    <s v="MAITRA AND SONS Avocado Plant  "/>
    <n v="299"/>
    <n v="144"/>
    <n v="0.51"/>
    <n v="3.3"/>
    <x v="1"/>
    <x v="7"/>
    <x v="1"/>
    <x v="6"/>
    <x v="0"/>
  </r>
  <r>
    <n v="1754310129"/>
    <n v="196"/>
    <x v="107"/>
    <s v="Plant Paradise Rudraksha Plant  "/>
    <n v="299"/>
    <n v="176"/>
    <n v="0.41"/>
    <n v="3.7"/>
    <x v="0"/>
    <x v="7"/>
    <x v="1"/>
    <x v="3"/>
    <x v="0"/>
  </r>
  <r>
    <n v="1754310134"/>
    <n v="197"/>
    <x v="108"/>
    <s v="FarmStorey Echeveria Plant, Sedum Plant  "/>
    <n v="1500"/>
    <n v="994"/>
    <n v="0.33"/>
    <n v="3.6"/>
    <x v="1"/>
    <x v="3"/>
    <x v="1"/>
    <x v="52"/>
    <x v="0"/>
  </r>
  <r>
    <n v="1754310140"/>
    <n v="198"/>
    <x v="109"/>
    <s v="MAITRA AND SONS Peace Lily Plant  "/>
    <n v="399"/>
    <n v="182"/>
    <n v="0.54"/>
    <n v="4"/>
    <x v="0"/>
    <x v="8"/>
    <x v="1"/>
    <x v="53"/>
    <x v="0"/>
  </r>
  <r>
    <n v="1754310142"/>
    <n v="199"/>
    <x v="8"/>
    <s v="UGAOO Jade Plant  "/>
    <n v="495"/>
    <n v="331"/>
    <n v="0.33"/>
    <n v="4.0999999999999996"/>
    <x v="1"/>
    <x v="3"/>
    <x v="2"/>
    <x v="2"/>
    <x v="0"/>
  </r>
  <r>
    <n v="1754310147"/>
    <n v="200"/>
    <x v="8"/>
    <s v="UGAOO Jade Plant  "/>
    <n v="349"/>
    <n v="325"/>
    <n v="0.06"/>
    <n v="4"/>
    <x v="1"/>
    <x v="3"/>
    <x v="2"/>
    <x v="2"/>
    <x v="0"/>
  </r>
  <r>
    <n v="1754310154"/>
    <n v="201"/>
    <x v="110"/>
    <s v="LaughEarth Custard Apple Plant  "/>
    <n v="369"/>
    <n v="132"/>
    <n v="0.64"/>
    <n v="3.5"/>
    <x v="1"/>
    <x v="7"/>
    <x v="0"/>
    <x v="19"/>
    <x v="0"/>
  </r>
  <r>
    <n v="1754310157"/>
    <n v="202"/>
    <x v="111"/>
    <s v="RUKDA Aloe Vera Plant  "/>
    <n v="1000"/>
    <n v="179"/>
    <n v="0.82"/>
    <n v="4"/>
    <x v="1"/>
    <x v="3"/>
    <x v="1"/>
    <x v="42"/>
    <x v="0"/>
  </r>
  <r>
    <n v="1754310159"/>
    <n v="203"/>
    <x v="2"/>
    <s v="UGAOO Variegated Money Plant  "/>
    <n v="449"/>
    <n v="384"/>
    <n v="0.14000000000000001"/>
    <n v="4.4000000000000004"/>
    <x v="1"/>
    <x v="1"/>
    <x v="2"/>
    <x v="2"/>
    <x v="0"/>
  </r>
  <r>
    <n v="1754310163"/>
    <n v="204"/>
    <x v="3"/>
    <s v="UGAOO Golden Money Plant  "/>
    <n v="449"/>
    <n v="349"/>
    <n v="0.22"/>
    <n v="4.3"/>
    <x v="1"/>
    <x v="1"/>
    <x v="2"/>
    <x v="2"/>
    <x v="0"/>
  </r>
  <r>
    <n v="1754310165"/>
    <n v="205"/>
    <x v="112"/>
    <s v="Mohomaya Mango Plant  "/>
    <n v="999"/>
    <n v="270"/>
    <n v="0.72"/>
    <n v="4"/>
    <x v="1"/>
    <x v="7"/>
    <x v="1"/>
    <x v="8"/>
    <x v="0"/>
  </r>
  <r>
    <n v="1754310168"/>
    <n v="206"/>
    <x v="113"/>
    <s v="Cloud Farm Pear Plant  "/>
    <n v="499"/>
    <n v="157"/>
    <n v="0.68"/>
    <n v="3.6"/>
    <x v="0"/>
    <x v="7"/>
    <x v="0"/>
    <x v="3"/>
    <x v="0"/>
  </r>
  <r>
    <n v="1754310170"/>
    <n v="207"/>
    <x v="114"/>
    <s v="AloGardening Mango Plant  "/>
    <n v="370"/>
    <n v="193"/>
    <n v="0.47"/>
    <n v="3.1"/>
    <x v="1"/>
    <x v="7"/>
    <x v="1"/>
    <x v="11"/>
    <x v="0"/>
  </r>
  <r>
    <n v="1754310173"/>
    <n v="208"/>
    <x v="115"/>
    <s v="MondallNursery Oxalis  "/>
    <n v="399"/>
    <n v="199"/>
    <n v="0.5"/>
    <n v="1"/>
    <x v="0"/>
    <x v="8"/>
    <x v="1"/>
    <x v="28"/>
    <x v="0"/>
  </r>
  <r>
    <n v="1754310175"/>
    <n v="209"/>
    <x v="2"/>
    <s v="UGAOO Variegated Money Plant  "/>
    <n v="449"/>
    <n v="384"/>
    <n v="0.14000000000000001"/>
    <n v="4.4000000000000004"/>
    <x v="1"/>
    <x v="1"/>
    <x v="2"/>
    <x v="2"/>
    <x v="0"/>
  </r>
  <r>
    <n v="1754310178"/>
    <n v="210"/>
    <x v="8"/>
    <s v="UGAOO Jade Plant  "/>
    <n v="499"/>
    <n v="335"/>
    <n v="0.32"/>
    <n v="4"/>
    <x v="1"/>
    <x v="3"/>
    <x v="2"/>
    <x v="2"/>
    <x v="0"/>
  </r>
  <r>
    <n v="1754310180"/>
    <n v="211"/>
    <x v="112"/>
    <s v="Mohomaya Mango Plant  "/>
    <n v="999"/>
    <n v="220"/>
    <n v="0.77"/>
    <n v="4"/>
    <x v="1"/>
    <x v="7"/>
    <x v="1"/>
    <x v="54"/>
    <x v="0"/>
  </r>
  <r>
    <n v="1754310183"/>
    <n v="212"/>
    <x v="116"/>
    <s v="Oxygreenplant Shahtoot/Mulberry Plant  "/>
    <n v="399"/>
    <n v="140"/>
    <n v="0.64"/>
    <n v="3.6"/>
    <x v="1"/>
    <x v="7"/>
    <x v="1"/>
    <x v="0"/>
    <x v="0"/>
  </r>
  <r>
    <n v="1754310185"/>
    <n v="213"/>
    <x v="8"/>
    <s v="UGAOO Jade Plant  "/>
    <n v="749"/>
    <n v="516"/>
    <n v="0.31"/>
    <n v="3.6"/>
    <x v="1"/>
    <x v="3"/>
    <x v="2"/>
    <x v="2"/>
    <x v="0"/>
  </r>
  <r>
    <n v="1754310188"/>
    <n v="214"/>
    <x v="11"/>
    <s v="UGAOO Njoy Money Plant  "/>
    <n v="549"/>
    <n v="388"/>
    <n v="0.28999999999999998"/>
    <n v="4.3"/>
    <x v="1"/>
    <x v="5"/>
    <x v="2"/>
    <x v="2"/>
    <x v="0"/>
  </r>
  <r>
    <n v="1754310190"/>
    <n v="215"/>
    <x v="117"/>
    <s v="Click to purchase Madhu Kamini Plant  "/>
    <n v="270"/>
    <n v="140"/>
    <n v="0.48"/>
    <n v="3.7"/>
    <x v="1"/>
    <x v="8"/>
    <x v="1"/>
    <x v="11"/>
    <x v="0"/>
  </r>
  <r>
    <n v="1754310193"/>
    <n v="216"/>
    <x v="118"/>
    <s v="Aquinnah Black Pepper Plant  "/>
    <n v="499"/>
    <n v="137"/>
    <n v="0.72"/>
    <n v="3.5"/>
    <x v="1"/>
    <x v="2"/>
    <x v="1"/>
    <x v="3"/>
    <x v="0"/>
  </r>
  <r>
    <n v="1754310195"/>
    <n v="217"/>
    <x v="119"/>
    <s v="Krishna all time mango plant Mango Plant  "/>
    <n v="595"/>
    <n v="198"/>
    <n v="0.66"/>
    <n v="3.1"/>
    <x v="1"/>
    <x v="7"/>
    <x v="1"/>
    <x v="42"/>
    <x v="0"/>
  </r>
  <r>
    <n v="1754310198"/>
    <n v="218"/>
    <x v="120"/>
    <s v="Gabbro Crasulla Ovata Plant  "/>
    <n v="999"/>
    <n v="222"/>
    <n v="0.77"/>
    <n v="4.3"/>
    <x v="0"/>
    <x v="3"/>
    <x v="1"/>
    <x v="55"/>
    <x v="0"/>
  </r>
  <r>
    <n v="1754310200"/>
    <n v="219"/>
    <x v="3"/>
    <s v="UGAOO Golden Money Plant  "/>
    <n v="449"/>
    <n v="349"/>
    <n v="0.22"/>
    <n v="4.3"/>
    <x v="1"/>
    <x v="1"/>
    <x v="2"/>
    <x v="2"/>
    <x v="0"/>
  </r>
  <r>
    <n v="1754310203"/>
    <n v="220"/>
    <x v="3"/>
    <s v="UGAOO Golden Money Plant  "/>
    <n v="449"/>
    <n v="349"/>
    <n v="0.22"/>
    <n v="4.3"/>
    <x v="1"/>
    <x v="1"/>
    <x v="2"/>
    <x v="2"/>
    <x v="0"/>
  </r>
  <r>
    <n v="1754310205"/>
    <n v="221"/>
    <x v="121"/>
    <s v="Mohomaya Hibiscus Plant  "/>
    <n v="999"/>
    <n v="283"/>
    <n v="0.71"/>
    <n v="4"/>
    <x v="1"/>
    <x v="8"/>
    <x v="1"/>
    <x v="56"/>
    <x v="0"/>
  </r>
  <r>
    <n v="1754310208"/>
    <n v="222"/>
    <x v="122"/>
    <s v="greenhousestore Coconut Plant  "/>
    <n v="599"/>
    <n v="179"/>
    <n v="0.7"/>
    <n v="3.9"/>
    <x v="1"/>
    <x v="7"/>
    <x v="1"/>
    <x v="27"/>
    <x v="0"/>
  </r>
  <r>
    <n v="1754310210"/>
    <n v="223"/>
    <x v="8"/>
    <s v="UGAOO Jade Plant  "/>
    <n v="499"/>
    <n v="424"/>
    <n v="0.15"/>
    <n v="4.3"/>
    <x v="1"/>
    <x v="3"/>
    <x v="2"/>
    <x v="2"/>
    <x v="0"/>
  </r>
  <r>
    <n v="1754310213"/>
    <n v="224"/>
    <x v="2"/>
    <s v="UGAOO Variegated Money Plant  "/>
    <n v="449"/>
    <n v="359"/>
    <n v="0.2"/>
    <n v="4.4000000000000004"/>
    <x v="1"/>
    <x v="1"/>
    <x v="2"/>
    <x v="2"/>
    <x v="0"/>
  </r>
  <r>
    <n v="1754310215"/>
    <n v="225"/>
    <x v="123"/>
    <s v="Aquinnah Nutmeg Plant  "/>
    <n v="499"/>
    <n v="135"/>
    <n v="0.72"/>
    <n v="3.2"/>
    <x v="1"/>
    <x v="7"/>
    <x v="1"/>
    <x v="57"/>
    <x v="0"/>
  </r>
  <r>
    <n v="1754310219"/>
    <n v="226"/>
    <x v="124"/>
    <s v="Greenium Aglaonema Plant  "/>
    <n v="699"/>
    <n v="212"/>
    <n v="0.69"/>
    <n v="4"/>
    <x v="0"/>
    <x v="4"/>
    <x v="1"/>
    <x v="58"/>
    <x v="0"/>
  </r>
  <r>
    <n v="1754310222"/>
    <n v="227"/>
    <x v="125"/>
    <s v="greenhousestore Cashew Apple Plant  "/>
    <n v="598"/>
    <n v="147"/>
    <n v="0.75"/>
    <n v="3.6"/>
    <x v="1"/>
    <x v="7"/>
    <x v="1"/>
    <x v="3"/>
    <x v="0"/>
  </r>
  <r>
    <n v="1754310224"/>
    <n v="228"/>
    <x v="126"/>
    <s v="pomgardening Apple Plant  "/>
    <n v="759"/>
    <n v="120"/>
    <n v="0.84"/>
    <n v="3.5"/>
    <x v="1"/>
    <x v="7"/>
    <x v="0"/>
    <x v="59"/>
    <x v="0"/>
  </r>
  <r>
    <n v="1754310227"/>
    <n v="229"/>
    <x v="8"/>
    <s v="UGAOO Jade Plant  "/>
    <n v="449"/>
    <n v="335"/>
    <n v="0.25"/>
    <n v="4"/>
    <x v="1"/>
    <x v="3"/>
    <x v="2"/>
    <x v="2"/>
    <x v="0"/>
  </r>
  <r>
    <n v="1754310229"/>
    <n v="230"/>
    <x v="8"/>
    <s v="UGAOO Jade Plant  "/>
    <n v="499"/>
    <n v="426"/>
    <n v="0.14000000000000001"/>
    <n v="4.2"/>
    <x v="1"/>
    <x v="3"/>
    <x v="2"/>
    <x v="2"/>
    <x v="0"/>
  </r>
  <r>
    <n v="1754310232"/>
    <n v="231"/>
    <x v="127"/>
    <s v="Agroholic Traders Money Plant  "/>
    <n v="490"/>
    <n v="142"/>
    <n v="0.71"/>
    <n v="3.8"/>
    <x v="1"/>
    <x v="5"/>
    <x v="1"/>
    <x v="60"/>
    <x v="0"/>
  </r>
  <r>
    <n v="1754310234"/>
    <n v="232"/>
    <x v="128"/>
    <s v="HYBRID Jambu Bira Plant, Kak Jam Plant, Jamun Plant, White Jamun Plant  "/>
    <n v="399"/>
    <n v="195"/>
    <n v="0.51"/>
    <n v="4"/>
    <x v="1"/>
    <x v="7"/>
    <x v="1"/>
    <x v="56"/>
    <x v="0"/>
  </r>
  <r>
    <n v="1754310237"/>
    <n v="233"/>
    <x v="8"/>
    <s v="UGAOO Jade Plant  "/>
    <n v="499"/>
    <n v="335"/>
    <n v="0.32"/>
    <n v="4"/>
    <x v="1"/>
    <x v="3"/>
    <x v="2"/>
    <x v="2"/>
    <x v="0"/>
  </r>
  <r>
    <n v="1754310239"/>
    <n v="234"/>
    <x v="2"/>
    <s v="UGAOO Variegated Money Plant  "/>
    <n v="445"/>
    <n v="335"/>
    <n v="0.24"/>
    <n v="4.4000000000000004"/>
    <x v="1"/>
    <x v="1"/>
    <x v="2"/>
    <x v="2"/>
    <x v="0"/>
  </r>
  <r>
    <n v="1754310242"/>
    <n v="235"/>
    <x v="129"/>
    <s v="GreenHavenn Mahogany Plant  "/>
    <n v="499"/>
    <n v="172"/>
    <n v="0.65"/>
    <n v="4"/>
    <x v="0"/>
    <x v="9"/>
    <x v="0"/>
    <x v="28"/>
    <x v="0"/>
  </r>
  <r>
    <n v="1754310244"/>
    <n v="236"/>
    <x v="64"/>
    <s v="FSK Kiwi Plant  "/>
    <n v="499"/>
    <n v="135"/>
    <n v="0.72"/>
    <n v="3.4"/>
    <x v="0"/>
    <x v="7"/>
    <x v="0"/>
    <x v="43"/>
    <x v="0"/>
  </r>
  <r>
    <n v="1754310247"/>
    <n v="237"/>
    <x v="130"/>
    <s v="UGAOO Snake Plant  "/>
    <n v="499"/>
    <n v="283"/>
    <n v="0.43"/>
    <n v="4.3"/>
    <x v="1"/>
    <x v="1"/>
    <x v="2"/>
    <x v="2"/>
    <x v="0"/>
  </r>
  <r>
    <n v="1754310251"/>
    <n v="238"/>
    <x v="131"/>
    <s v="PEEPALSFARM Betel Leaf Plant  "/>
    <n v="499"/>
    <n v="161"/>
    <n v="0.67"/>
    <n v="3.1"/>
    <x v="1"/>
    <x v="2"/>
    <x v="1"/>
    <x v="17"/>
    <x v="0"/>
  </r>
  <r>
    <n v="1754310253"/>
    <n v="239"/>
    <x v="8"/>
    <s v="UGAOO Jade Plant  "/>
    <n v="495"/>
    <n v="331"/>
    <n v="0.33"/>
    <n v="4.0999999999999996"/>
    <x v="1"/>
    <x v="3"/>
    <x v="2"/>
    <x v="2"/>
    <x v="0"/>
  </r>
  <r>
    <n v="1754310256"/>
    <n v="240"/>
    <x v="8"/>
    <s v="UGAOO Jade Plant  "/>
    <n v="349"/>
    <n v="325"/>
    <n v="0.06"/>
    <n v="4"/>
    <x v="1"/>
    <x v="3"/>
    <x v="2"/>
    <x v="2"/>
    <x v="0"/>
  </r>
  <r>
    <n v="1754310261"/>
    <n v="241"/>
    <x v="13"/>
    <s v="Cloud Farm Clove Plant  "/>
    <n v="499"/>
    <n v="212"/>
    <n v="0.56999999999999995"/>
    <n v="4"/>
    <x v="0"/>
    <x v="2"/>
    <x v="0"/>
    <x v="19"/>
    <x v="0"/>
  </r>
  <r>
    <n v="1754310263"/>
    <n v="242"/>
    <x v="10"/>
    <s v="ABEFARIYA Areca Palm  "/>
    <n v="1300"/>
    <n v="169"/>
    <n v="0.87"/>
    <n v="4"/>
    <x v="1"/>
    <x v="4"/>
    <x v="1"/>
    <x v="10"/>
    <x v="0"/>
  </r>
  <r>
    <n v="1754310266"/>
    <n v="243"/>
    <x v="17"/>
    <s v="ABEFARIYA Clove Plant  "/>
    <n v="599"/>
    <n v="134"/>
    <n v="0.77"/>
    <n v="3.5"/>
    <x v="1"/>
    <x v="2"/>
    <x v="0"/>
    <x v="3"/>
    <x v="0"/>
  </r>
  <r>
    <n v="1754310268"/>
    <n v="244"/>
    <x v="3"/>
    <s v="UGAOO Golden Money Plant  "/>
    <n v="449"/>
    <n v="349"/>
    <n v="0.22"/>
    <n v="4.3"/>
    <x v="1"/>
    <x v="1"/>
    <x v="2"/>
    <x v="2"/>
    <x v="0"/>
  </r>
  <r>
    <n v="1754310271"/>
    <n v="245"/>
    <x v="132"/>
    <s v="Cloud Farm Jade Plant  "/>
    <n v="199"/>
    <n v="147"/>
    <n v="0.26"/>
    <n v="4"/>
    <x v="1"/>
    <x v="7"/>
    <x v="0"/>
    <x v="19"/>
    <x v="0"/>
  </r>
  <r>
    <n v="1754310274"/>
    <n v="246"/>
    <x v="38"/>
    <s v="ABC Areca Palm  "/>
    <n v="399"/>
    <n v="157"/>
    <n v="0.6"/>
    <n v="1.5"/>
    <x v="1"/>
    <x v="1"/>
    <x v="1"/>
    <x v="61"/>
    <x v="0"/>
  </r>
  <r>
    <n v="1754310276"/>
    <n v="247"/>
    <x v="38"/>
    <s v="ABC Areca Palm  "/>
    <n v="300"/>
    <n v="149"/>
    <n v="0.5"/>
    <n v="1.8"/>
    <x v="0"/>
    <x v="6"/>
    <x v="1"/>
    <x v="26"/>
    <x v="0"/>
  </r>
  <r>
    <n v="1754310278"/>
    <n v="248"/>
    <x v="13"/>
    <s v="Cloud Farm Clove Plant  "/>
    <n v="399"/>
    <n v="290"/>
    <n v="0.27"/>
    <n v="4"/>
    <x v="0"/>
    <x v="2"/>
    <x v="0"/>
    <x v="19"/>
    <x v="0"/>
  </r>
  <r>
    <n v="1754310282"/>
    <n v="249"/>
    <x v="2"/>
    <s v="UGAOO Variegated Money Plant  "/>
    <n v="449"/>
    <n v="384"/>
    <n v="0.14000000000000001"/>
    <n v="4.4000000000000004"/>
    <x v="1"/>
    <x v="1"/>
    <x v="2"/>
    <x v="2"/>
    <x v="0"/>
  </r>
  <r>
    <n v="1754310284"/>
    <n v="250"/>
    <x v="8"/>
    <s v="UGAOO Jade Plant  "/>
    <n v="499"/>
    <n v="335"/>
    <n v="0.32"/>
    <n v="4"/>
    <x v="1"/>
    <x v="3"/>
    <x v="2"/>
    <x v="2"/>
    <x v="0"/>
  </r>
  <r>
    <n v="1754310287"/>
    <n v="251"/>
    <x v="4"/>
    <s v="PLANTTOOZS Clove Plant  "/>
    <n v="339"/>
    <n v="217"/>
    <n v="0.35"/>
    <n v="2.8"/>
    <x v="1"/>
    <x v="2"/>
    <x v="1"/>
    <x v="62"/>
    <x v="0"/>
  </r>
  <r>
    <n v="1754310290"/>
    <n v="252"/>
    <x v="133"/>
    <s v="GreenyOn ZZ Plant  "/>
    <n v="207"/>
    <n v="165"/>
    <n v="0.2"/>
    <n v="4"/>
    <x v="0"/>
    <x v="2"/>
    <x v="0"/>
    <x v="63"/>
    <x v="0"/>
  </r>
  <r>
    <n v="1754310292"/>
    <n v="253"/>
    <x v="8"/>
    <s v="UGAOO Jade Plant  "/>
    <n v="749"/>
    <n v="516"/>
    <n v="0.31"/>
    <n v="3.6"/>
    <x v="1"/>
    <x v="3"/>
    <x v="2"/>
    <x v="2"/>
    <x v="0"/>
  </r>
  <r>
    <n v="1754310295"/>
    <n v="254"/>
    <x v="11"/>
    <s v="UGAOO Njoy Money Plant  "/>
    <n v="549"/>
    <n v="388"/>
    <n v="0.28999999999999998"/>
    <n v="4.3"/>
    <x v="1"/>
    <x v="5"/>
    <x v="2"/>
    <x v="2"/>
    <x v="0"/>
  </r>
  <r>
    <n v="1754310297"/>
    <n v="255"/>
    <x v="134"/>
    <s v="Augadh Orange Plant  "/>
    <n v="339"/>
    <n v="135"/>
    <n v="0.6"/>
    <n v="3.7"/>
    <x v="0"/>
    <x v="7"/>
    <x v="0"/>
    <x v="9"/>
    <x v="0"/>
  </r>
  <r>
    <n v="1754310300"/>
    <n v="256"/>
    <x v="135"/>
    <s v="My Dream Nursery Syngonium Plant  "/>
    <n v="249"/>
    <n v="179"/>
    <n v="0.28000000000000003"/>
    <n v="2.5"/>
    <x v="1"/>
    <x v="5"/>
    <x v="2"/>
    <x v="10"/>
    <x v="0"/>
  </r>
  <r>
    <n v="1754310303"/>
    <n v="257"/>
    <x v="13"/>
    <s v="Cloud Farm Clove Plant  "/>
    <n v="399"/>
    <n v="142"/>
    <n v="0.64"/>
    <n v="4"/>
    <x v="0"/>
    <x v="8"/>
    <x v="0"/>
    <x v="6"/>
    <x v="0"/>
  </r>
  <r>
    <n v="1754310305"/>
    <n v="258"/>
    <x v="30"/>
    <s v="Cloud Farm ZZ Plant  "/>
    <n v="199"/>
    <n v="137"/>
    <n v="0.31"/>
    <n v="4"/>
    <x v="0"/>
    <x v="2"/>
    <x v="0"/>
    <x v="19"/>
    <x v="0"/>
  </r>
  <r>
    <n v="1754310308"/>
    <n v="259"/>
    <x v="3"/>
    <s v="UGAOO Golden Money Plant  "/>
    <n v="449"/>
    <n v="349"/>
    <n v="0.22"/>
    <n v="4.3"/>
    <x v="1"/>
    <x v="1"/>
    <x v="2"/>
    <x v="2"/>
    <x v="0"/>
  </r>
  <r>
    <n v="1754310311"/>
    <n v="260"/>
    <x v="3"/>
    <s v="UGAOO Golden Money Plant  "/>
    <n v="449"/>
    <n v="349"/>
    <n v="0.22"/>
    <n v="4.3"/>
    <x v="1"/>
    <x v="1"/>
    <x v="2"/>
    <x v="2"/>
    <x v="0"/>
  </r>
  <r>
    <n v="1754310313"/>
    <n v="261"/>
    <x v="132"/>
    <s v="Cloud Farm Jade Plant  "/>
    <n v="199"/>
    <n v="135"/>
    <n v="0.32"/>
    <n v="4"/>
    <x v="1"/>
    <x v="7"/>
    <x v="0"/>
    <x v="19"/>
    <x v="0"/>
  </r>
  <r>
    <n v="1754310315"/>
    <n v="262"/>
    <x v="132"/>
    <s v="Cloud Farm Jade Plant  "/>
    <n v="199"/>
    <n v="140"/>
    <n v="0.28999999999999998"/>
    <n v="4"/>
    <x v="1"/>
    <x v="7"/>
    <x v="0"/>
    <x v="19"/>
    <x v="0"/>
  </r>
  <r>
    <n v="1754310318"/>
    <n v="263"/>
    <x v="8"/>
    <s v="UGAOO Jade Plant  "/>
    <n v="499"/>
    <n v="424"/>
    <n v="0.15"/>
    <n v="4.3"/>
    <x v="1"/>
    <x v="3"/>
    <x v="2"/>
    <x v="2"/>
    <x v="0"/>
  </r>
  <r>
    <n v="1754310320"/>
    <n v="264"/>
    <x v="2"/>
    <s v="UGAOO Variegated Money Plant  "/>
    <n v="449"/>
    <n v="359"/>
    <n v="0.2"/>
    <n v="4"/>
    <x v="1"/>
    <x v="1"/>
    <x v="2"/>
    <x v="2"/>
    <x v="0"/>
  </r>
  <r>
    <n v="1754310323"/>
    <n v="265"/>
    <x v="136"/>
    <s v="UGAOO Two Layer Bamboo Plant  "/>
    <n v="399"/>
    <n v="310"/>
    <n v="0.22"/>
    <n v="4.3"/>
    <x v="1"/>
    <x v="6"/>
    <x v="2"/>
    <x v="2"/>
    <x v="0"/>
  </r>
  <r>
    <n v="1754310326"/>
    <n v="266"/>
    <x v="137"/>
    <s v="Oaul Store Areca Plam  "/>
    <n v="357"/>
    <n v="149"/>
    <n v="0.57999999999999996"/>
    <n v="1.8"/>
    <x v="1"/>
    <x v="0"/>
    <x v="1"/>
    <x v="64"/>
    <x v="0"/>
  </r>
  <r>
    <n v="1754310328"/>
    <n v="267"/>
    <x v="138"/>
    <s v="MATARANURSERY Agarwood Plant  "/>
    <n v="399"/>
    <n v="169"/>
    <n v="0.56999999999999995"/>
    <n v="3.3"/>
    <x v="1"/>
    <x v="9"/>
    <x v="0"/>
    <x v="3"/>
    <x v="0"/>
  </r>
  <r>
    <n v="1754310331"/>
    <n v="268"/>
    <x v="139"/>
    <s v="Flipkart SmartBuy Two Layer Bamboo Plant  "/>
    <n v="999"/>
    <n v="345"/>
    <n v="0.65"/>
    <n v="4.2"/>
    <x v="1"/>
    <x v="6"/>
    <x v="1"/>
    <x v="65"/>
    <x v="0"/>
  </r>
  <r>
    <n v="1754310334"/>
    <n v="269"/>
    <x v="8"/>
    <s v="UGAOO Jade Plant  "/>
    <n v="449"/>
    <n v="335"/>
    <n v="0.25"/>
    <n v="4"/>
    <x v="1"/>
    <x v="3"/>
    <x v="2"/>
    <x v="2"/>
    <x v="0"/>
  </r>
  <r>
    <n v="1754310336"/>
    <n v="270"/>
    <x v="8"/>
    <s v="UGAOO Jade Plant  "/>
    <n v="499"/>
    <n v="426"/>
    <n v="0.14000000000000001"/>
    <n v="4.2"/>
    <x v="1"/>
    <x v="3"/>
    <x v="2"/>
    <x v="2"/>
    <x v="0"/>
  </r>
  <r>
    <n v="1754310339"/>
    <n v="271"/>
    <x v="140"/>
    <s v="Cloud Farm Platycladus/Morpankhi Plant  "/>
    <n v="399"/>
    <n v="203"/>
    <n v="0.49"/>
    <n v="1.3"/>
    <x v="0"/>
    <x v="5"/>
    <x v="0"/>
    <x v="3"/>
    <x v="0"/>
  </r>
  <r>
    <n v="1754310342"/>
    <n v="272"/>
    <x v="141"/>
    <s v="DRACENAPLANT RAJDHANINURSERY Dracaena Plant  "/>
    <n v="800"/>
    <n v="140"/>
    <n v="0.82"/>
    <n v="3.2"/>
    <x v="2"/>
    <x v="9"/>
    <x v="1"/>
    <x v="9"/>
    <x v="0"/>
  </r>
  <r>
    <n v="1754310344"/>
    <n v="273"/>
    <x v="8"/>
    <s v="UGAOO Jade Plant  "/>
    <n v="499"/>
    <n v="335"/>
    <n v="0.32"/>
    <n v="4"/>
    <x v="1"/>
    <x v="3"/>
    <x v="2"/>
    <x v="2"/>
    <x v="0"/>
  </r>
  <r>
    <n v="1754310347"/>
    <n v="274"/>
    <x v="2"/>
    <s v="UGAOO Variegated Money Plant  "/>
    <n v="445"/>
    <n v="335"/>
    <n v="0.24"/>
    <n v="4.4000000000000004"/>
    <x v="1"/>
    <x v="1"/>
    <x v="2"/>
    <x v="2"/>
    <x v="0"/>
  </r>
  <r>
    <n v="1754310349"/>
    <n v="275"/>
    <x v="142"/>
    <s v="Decorate The World Areca Palm  "/>
    <n v="399"/>
    <n v="151"/>
    <n v="0.62"/>
    <n v="3.1"/>
    <x v="0"/>
    <x v="6"/>
    <x v="1"/>
    <x v="45"/>
    <x v="0"/>
  </r>
  <r>
    <n v="1754310352"/>
    <n v="276"/>
    <x v="4"/>
    <s v="PLANTTOOZS Clove Plant  "/>
    <n v="499"/>
    <n v="150"/>
    <n v="0.69"/>
    <n v="4"/>
    <x v="0"/>
    <x v="2"/>
    <x v="0"/>
    <x v="3"/>
    <x v="0"/>
  </r>
  <r>
    <n v="1754310354"/>
    <n v="277"/>
    <x v="143"/>
    <s v="Exotica HRMN Grafted Apple Plant  "/>
    <n v="599"/>
    <n v="158"/>
    <n v="0.73"/>
    <n v="3.2"/>
    <x v="0"/>
    <x v="7"/>
    <x v="0"/>
    <x v="60"/>
    <x v="0"/>
  </r>
  <r>
    <n v="1754310357"/>
    <n v="278"/>
    <x v="144"/>
    <s v="Cloud Farm Apple Plant  "/>
    <n v="299"/>
    <n v="145"/>
    <n v="0.51"/>
    <n v="3.1"/>
    <x v="0"/>
    <x v="7"/>
    <x v="0"/>
    <x v="3"/>
    <x v="0"/>
  </r>
  <r>
    <n v="1754310360"/>
    <n v="279"/>
    <x v="8"/>
    <s v="UGAOO Jade Plant  "/>
    <n v="495"/>
    <n v="331"/>
    <n v="0.33"/>
    <n v="4.0999999999999996"/>
    <x v="1"/>
    <x v="3"/>
    <x v="2"/>
    <x v="2"/>
    <x v="0"/>
  </r>
  <r>
    <n v="1754310362"/>
    <n v="280"/>
    <x v="8"/>
    <s v="UGAOO Jade Plant  "/>
    <n v="349"/>
    <n v="325"/>
    <n v="0.06"/>
    <n v="4"/>
    <x v="1"/>
    <x v="3"/>
    <x v="2"/>
    <x v="2"/>
    <x v="0"/>
  </r>
  <r>
    <n v="1754310368"/>
    <n v="281"/>
    <x v="145"/>
    <s v="Risenshine ZZ Plant  "/>
    <n v="199"/>
    <n v="159"/>
    <n v="0.2"/>
    <n v="1.8"/>
    <x v="0"/>
    <x v="5"/>
    <x v="1"/>
    <x v="66"/>
    <x v="0"/>
  </r>
  <r>
    <n v="1754310370"/>
    <n v="282"/>
    <x v="14"/>
    <s v="ALG Clove Plant  "/>
    <n v="599"/>
    <n v="380"/>
    <n v="0.36"/>
    <n v="3.4"/>
    <x v="1"/>
    <x v="2"/>
    <x v="0"/>
    <x v="5"/>
    <x v="0"/>
  </r>
  <r>
    <n v="1754310373"/>
    <n v="283"/>
    <x v="146"/>
    <s v="APOSOLUARD Baugainvillea Plant  "/>
    <n v="491"/>
    <n v="167"/>
    <n v="0.65"/>
    <n v="4.5"/>
    <x v="1"/>
    <x v="8"/>
    <x v="0"/>
    <x v="67"/>
    <x v="0"/>
  </r>
  <r>
    <n v="1754310375"/>
    <n v="284"/>
    <x v="3"/>
    <s v="UGAOO Golden Money Plant  "/>
    <n v="449"/>
    <n v="349"/>
    <n v="0.22"/>
    <n v="4.3"/>
    <x v="1"/>
    <x v="1"/>
    <x v="2"/>
    <x v="2"/>
    <x v="0"/>
  </r>
  <r>
    <n v="1754310378"/>
    <n v="285"/>
    <x v="4"/>
    <s v="PLANTTOOZS Clove Plant  "/>
    <n v="945"/>
    <n v="130"/>
    <n v="0.86"/>
    <n v="3.4"/>
    <x v="1"/>
    <x v="2"/>
    <x v="0"/>
    <x v="36"/>
    <x v="0"/>
  </r>
  <r>
    <n v="1754310380"/>
    <n v="286"/>
    <x v="147"/>
    <s v="UGAOO Three Layer Bamboo Plant  "/>
    <n v="499"/>
    <n v="426"/>
    <n v="0.14000000000000001"/>
    <n v="4.3"/>
    <x v="1"/>
    <x v="6"/>
    <x v="2"/>
    <x v="2"/>
    <x v="0"/>
  </r>
  <r>
    <n v="1754310383"/>
    <n v="287"/>
    <x v="148"/>
    <s v="Cloud Farm Grapes Plant  "/>
    <n v="499"/>
    <n v="147"/>
    <n v="0.7"/>
    <n v="3.3"/>
    <x v="0"/>
    <x v="7"/>
    <x v="0"/>
    <x v="6"/>
    <x v="0"/>
  </r>
  <r>
    <n v="1754310386"/>
    <n v="288"/>
    <x v="149"/>
    <s v="Cloud Farm Orange Plant  "/>
    <n v="299"/>
    <n v="150"/>
    <n v="0.49"/>
    <n v="3.4"/>
    <x v="1"/>
    <x v="7"/>
    <x v="0"/>
    <x v="6"/>
    <x v="0"/>
  </r>
  <r>
    <n v="1754310388"/>
    <n v="289"/>
    <x v="2"/>
    <s v="UGAOO Variegated Money Plant  "/>
    <n v="449"/>
    <n v="384"/>
    <n v="0.14000000000000001"/>
    <n v="4.4000000000000004"/>
    <x v="1"/>
    <x v="1"/>
    <x v="2"/>
    <x v="2"/>
    <x v="0"/>
  </r>
  <r>
    <n v="1754310391"/>
    <n v="290"/>
    <x v="8"/>
    <s v="UGAOO Jade Plant  "/>
    <n v="499"/>
    <n v="335"/>
    <n v="0.32"/>
    <n v="4"/>
    <x v="1"/>
    <x v="3"/>
    <x v="2"/>
    <x v="2"/>
    <x v="0"/>
  </r>
  <r>
    <n v="1754310393"/>
    <n v="291"/>
    <x v="150"/>
    <s v="Aquinnah ZZ Plant  "/>
    <n v="499"/>
    <n v="165"/>
    <n v="0.66"/>
    <n v="4"/>
    <x v="1"/>
    <x v="1"/>
    <x v="1"/>
    <x v="47"/>
    <x v="0"/>
  </r>
  <r>
    <n v="1754310396"/>
    <n v="292"/>
    <x v="151"/>
    <s v="Cloud Farm Guava Plant  "/>
    <n v="399"/>
    <n v="150"/>
    <n v="0.62"/>
    <n v="4"/>
    <x v="0"/>
    <x v="7"/>
    <x v="1"/>
    <x v="19"/>
    <x v="0"/>
  </r>
  <r>
    <n v="1754310398"/>
    <n v="293"/>
    <x v="8"/>
    <s v="UGAOO Jade Plant  "/>
    <n v="749"/>
    <n v="516"/>
    <n v="0.31"/>
    <n v="3.6"/>
    <x v="1"/>
    <x v="3"/>
    <x v="2"/>
    <x v="2"/>
    <x v="0"/>
  </r>
  <r>
    <n v="1754310401"/>
    <n v="294"/>
    <x v="11"/>
    <s v="UGAOO Njoy Money Plant  "/>
    <n v="549"/>
    <n v="388"/>
    <n v="0.28999999999999998"/>
    <n v="4.3"/>
    <x v="1"/>
    <x v="5"/>
    <x v="2"/>
    <x v="2"/>
    <x v="0"/>
  </r>
  <r>
    <n v="1754310403"/>
    <n v="295"/>
    <x v="148"/>
    <s v="Cloud Farm Grapes Plant  "/>
    <n v="499"/>
    <n v="169"/>
    <n v="0.66"/>
    <n v="4"/>
    <x v="0"/>
    <x v="7"/>
    <x v="1"/>
    <x v="19"/>
    <x v="0"/>
  </r>
  <r>
    <n v="1754310406"/>
    <n v="296"/>
    <x v="152"/>
    <s v="Cloud Farm Hibiscus Plant  "/>
    <n v="499"/>
    <n v="160"/>
    <n v="0.67"/>
    <n v="4"/>
    <x v="0"/>
    <x v="8"/>
    <x v="0"/>
    <x v="3"/>
    <x v="0"/>
  </r>
  <r>
    <n v="1754310408"/>
    <n v="297"/>
    <x v="153"/>
    <s v="Cloud Farm Strawberry Plant  "/>
    <n v="249"/>
    <n v="145"/>
    <n v="0.41"/>
    <n v="3.7"/>
    <x v="0"/>
    <x v="7"/>
    <x v="0"/>
    <x v="3"/>
    <x v="0"/>
  </r>
  <r>
    <n v="1754310411"/>
    <n v="298"/>
    <x v="154"/>
    <s v="LivePlant Syngonium Plant  "/>
    <n v="299"/>
    <n v="167"/>
    <n v="0.44"/>
    <n v="2.1"/>
    <x v="1"/>
    <x v="9"/>
    <x v="2"/>
    <x v="3"/>
    <x v="0"/>
  </r>
  <r>
    <n v="1754310413"/>
    <n v="299"/>
    <x v="3"/>
    <s v="UGAOO Golden Money Plant  "/>
    <n v="449"/>
    <n v="349"/>
    <n v="0.22"/>
    <n v="4.3"/>
    <x v="1"/>
    <x v="1"/>
    <x v="2"/>
    <x v="2"/>
    <x v="0"/>
  </r>
  <r>
    <n v="1754310416"/>
    <n v="300"/>
    <x v="3"/>
    <s v="UGAOO Golden Money Plant  "/>
    <n v="449"/>
    <n v="349"/>
    <n v="0.22"/>
    <n v="4.3"/>
    <x v="1"/>
    <x v="1"/>
    <x v="2"/>
    <x v="2"/>
    <x v="0"/>
  </r>
  <r>
    <n v="1754310418"/>
    <n v="301"/>
    <x v="13"/>
    <s v="Cloud Farm Clove Plant  "/>
    <n v="399"/>
    <n v="145"/>
    <n v="0.63"/>
    <n v="3.3"/>
    <x v="0"/>
    <x v="2"/>
    <x v="0"/>
    <x v="19"/>
    <x v="0"/>
  </r>
  <r>
    <n v="1754310421"/>
    <n v="302"/>
    <x v="13"/>
    <s v="Cloud Farm Clove Plant  "/>
    <n v="249"/>
    <n v="145"/>
    <n v="0.41"/>
    <n v="3.3"/>
    <x v="0"/>
    <x v="2"/>
    <x v="0"/>
    <x v="3"/>
    <x v="0"/>
  </r>
  <r>
    <n v="1754310424"/>
    <n v="303"/>
    <x v="8"/>
    <s v="UGAOO Jade Plant  "/>
    <n v="499"/>
    <n v="424"/>
    <n v="0.15"/>
    <n v="4.3"/>
    <x v="1"/>
    <x v="3"/>
    <x v="2"/>
    <x v="2"/>
    <x v="0"/>
  </r>
  <r>
    <n v="1754310426"/>
    <n v="304"/>
    <x v="2"/>
    <s v="UGAOO Variegated Money Plant  "/>
    <n v="449"/>
    <n v="359"/>
    <n v="0.2"/>
    <n v="4.4000000000000004"/>
    <x v="1"/>
    <x v="1"/>
    <x v="2"/>
    <x v="2"/>
    <x v="0"/>
  </r>
  <r>
    <n v="1754310429"/>
    <n v="305"/>
    <x v="13"/>
    <s v="Cloud Farm Clove Plant  "/>
    <n v="199"/>
    <n v="144"/>
    <n v="0.27"/>
    <n v="3.4"/>
    <x v="0"/>
    <x v="2"/>
    <x v="0"/>
    <x v="6"/>
    <x v="0"/>
  </r>
  <r>
    <n v="1754310431"/>
    <n v="306"/>
    <x v="16"/>
    <s v="Cloud Farm Baugainvillea Plant  "/>
    <n v="399"/>
    <n v="135"/>
    <n v="0.66"/>
    <n v="4"/>
    <x v="0"/>
    <x v="7"/>
    <x v="0"/>
    <x v="6"/>
    <x v="0"/>
  </r>
  <r>
    <n v="1754310434"/>
    <n v="307"/>
    <x v="155"/>
    <s v="Cloud Farm Parijat/Harsingar Plant  "/>
    <n v="499"/>
    <n v="135"/>
    <n v="0.72"/>
    <n v="4"/>
    <x v="0"/>
    <x v="2"/>
    <x v="1"/>
    <x v="19"/>
    <x v="0"/>
  </r>
  <r>
    <n v="1754310436"/>
    <n v="308"/>
    <x v="13"/>
    <s v="Cloud Farm Clove Plant  "/>
    <n v="499"/>
    <n v="135"/>
    <n v="0.72"/>
    <n v="4"/>
    <x v="0"/>
    <x v="2"/>
    <x v="0"/>
    <x v="19"/>
    <x v="0"/>
  </r>
  <r>
    <n v="1754310439"/>
    <n v="309"/>
    <x v="8"/>
    <s v="UGAOO Jade Plant  "/>
    <n v="449"/>
    <n v="335"/>
    <n v="0.25"/>
    <n v="4"/>
    <x v="1"/>
    <x v="3"/>
    <x v="2"/>
    <x v="2"/>
    <x v="0"/>
  </r>
  <r>
    <n v="1754310442"/>
    <n v="310"/>
    <x v="8"/>
    <s v="UGAOO Jade Plant  "/>
    <n v="499"/>
    <n v="426"/>
    <n v="0.14000000000000001"/>
    <n v="4.2"/>
    <x v="1"/>
    <x v="3"/>
    <x v="2"/>
    <x v="2"/>
    <x v="0"/>
  </r>
  <r>
    <n v="1754310444"/>
    <n v="311"/>
    <x v="148"/>
    <s v="Cloud Farm Grapes Plant  "/>
    <n v="499"/>
    <n v="142"/>
    <n v="0.71"/>
    <n v="4"/>
    <x v="1"/>
    <x v="7"/>
    <x v="1"/>
    <x v="19"/>
    <x v="0"/>
  </r>
  <r>
    <n v="1754310447"/>
    <n v="312"/>
    <x v="13"/>
    <s v="Cloud Farm Clove Plant  "/>
    <n v="499"/>
    <n v="132"/>
    <n v="0.73"/>
    <n v="4"/>
    <x v="0"/>
    <x v="2"/>
    <x v="1"/>
    <x v="19"/>
    <x v="0"/>
  </r>
  <r>
    <n v="1754310449"/>
    <n v="313"/>
    <x v="8"/>
    <s v="UGAOO Jade Plant  "/>
    <n v="499"/>
    <n v="335"/>
    <n v="0.32"/>
    <n v="4"/>
    <x v="1"/>
    <x v="3"/>
    <x v="2"/>
    <x v="2"/>
    <x v="0"/>
  </r>
  <r>
    <n v="1754310452"/>
    <n v="314"/>
    <x v="2"/>
    <s v="UGAOO Variegated Money Plant  "/>
    <n v="445"/>
    <n v="335"/>
    <n v="0.24"/>
    <n v="4.4000000000000004"/>
    <x v="1"/>
    <x v="1"/>
    <x v="2"/>
    <x v="2"/>
    <x v="0"/>
  </r>
  <r>
    <n v="1754310454"/>
    <n v="315"/>
    <x v="13"/>
    <s v="Cloud Farm Clove Plant  "/>
    <n v="499"/>
    <n v="132"/>
    <n v="0.73"/>
    <n v="4"/>
    <x v="0"/>
    <x v="2"/>
    <x v="1"/>
    <x v="19"/>
    <x v="0"/>
  </r>
  <r>
    <n v="1754310457"/>
    <n v="316"/>
    <x v="13"/>
    <s v="Cloud Farm Clove Plant  "/>
    <n v="499"/>
    <n v="132"/>
    <n v="0.73"/>
    <n v="4"/>
    <x v="0"/>
    <x v="2"/>
    <x v="1"/>
    <x v="19"/>
    <x v="0"/>
  </r>
  <r>
    <n v="1754310459"/>
    <n v="317"/>
    <x v="13"/>
    <s v="Cloud Farm Clove Plant  "/>
    <n v="499"/>
    <n v="142"/>
    <n v="0.71"/>
    <n v="4"/>
    <x v="0"/>
    <x v="2"/>
    <x v="0"/>
    <x v="19"/>
    <x v="0"/>
  </r>
  <r>
    <n v="1754310462"/>
    <n v="318"/>
    <x v="13"/>
    <s v="Cloud Farm Clove Plant  "/>
    <n v="499"/>
    <n v="142"/>
    <n v="0.71"/>
    <n v="4"/>
    <x v="0"/>
    <x v="2"/>
    <x v="0"/>
    <x v="19"/>
    <x v="0"/>
  </r>
  <r>
    <n v="1754310464"/>
    <n v="319"/>
    <x v="8"/>
    <s v="UGAOO Jade Plant  "/>
    <n v="495"/>
    <n v="331"/>
    <n v="0.33"/>
    <n v="4.0999999999999996"/>
    <x v="1"/>
    <x v="3"/>
    <x v="2"/>
    <x v="2"/>
    <x v="0"/>
  </r>
  <r>
    <n v="1754310467"/>
    <n v="320"/>
    <x v="8"/>
    <s v="UGAOO Jade Plant  "/>
    <n v="349"/>
    <n v="325"/>
    <n v="0.06"/>
    <n v="4"/>
    <x v="1"/>
    <x v="3"/>
    <x v="2"/>
    <x v="2"/>
    <x v="0"/>
  </r>
  <r>
    <n v="1754310473"/>
    <n v="321"/>
    <x v="23"/>
    <s v="Cloud Farm Pistachio Plant  "/>
    <n v="499"/>
    <n v="145"/>
    <n v="0.7"/>
    <n v="4"/>
    <x v="0"/>
    <x v="7"/>
    <x v="0"/>
    <x v="3"/>
    <x v="0"/>
  </r>
  <r>
    <n v="1754310475"/>
    <n v="322"/>
    <x v="13"/>
    <s v="Cloud Farm Clove Plant  "/>
    <n v="499"/>
    <n v="147"/>
    <n v="0.7"/>
    <n v="4"/>
    <x v="0"/>
    <x v="2"/>
    <x v="0"/>
    <x v="6"/>
    <x v="0"/>
  </r>
  <r>
    <n v="1754310478"/>
    <n v="323"/>
    <x v="156"/>
    <s v="GLOBQRO Grape Plant  "/>
    <n v="622"/>
    <n v="116"/>
    <n v="0.81"/>
    <n v="3.4"/>
    <x v="1"/>
    <x v="7"/>
    <x v="1"/>
    <x v="9"/>
    <x v="0"/>
  </r>
  <r>
    <n v="1754310480"/>
    <n v="324"/>
    <x v="3"/>
    <s v="UGAOO Golden Money Plant  "/>
    <n v="449"/>
    <n v="349"/>
    <n v="0.22"/>
    <n v="4.3"/>
    <x v="1"/>
    <x v="1"/>
    <x v="2"/>
    <x v="2"/>
    <x v="0"/>
  </r>
  <r>
    <n v="1754310483"/>
    <n v="325"/>
    <x v="157"/>
    <s v="AloGardening Shahtoot/Mulberry Plant  "/>
    <n v="379"/>
    <n v="157"/>
    <n v="0.57999999999999996"/>
    <n v="3.6"/>
    <x v="1"/>
    <x v="7"/>
    <x v="1"/>
    <x v="11"/>
    <x v="0"/>
  </r>
  <r>
    <n v="1754310485"/>
    <n v="326"/>
    <x v="30"/>
    <s v="Cloud Farm ZZ Plant  "/>
    <n v="199"/>
    <n v="137"/>
    <n v="0.31"/>
    <n v="4"/>
    <x v="0"/>
    <x v="1"/>
    <x v="0"/>
    <x v="19"/>
    <x v="0"/>
  </r>
  <r>
    <n v="1754310488"/>
    <n v="327"/>
    <x v="13"/>
    <s v="Cloud Farm Clove Plant  "/>
    <n v="399"/>
    <n v="140"/>
    <n v="0.64"/>
    <n v="4"/>
    <x v="0"/>
    <x v="2"/>
    <x v="0"/>
    <x v="6"/>
    <x v="0"/>
  </r>
  <r>
    <n v="1754310491"/>
    <n v="328"/>
    <x v="13"/>
    <s v="Cloud Farm Clove Plant  "/>
    <n v="199"/>
    <n v="137"/>
    <n v="0.31"/>
    <n v="4"/>
    <x v="0"/>
    <x v="2"/>
    <x v="0"/>
    <x v="19"/>
    <x v="0"/>
  </r>
  <r>
    <n v="1754310493"/>
    <n v="329"/>
    <x v="2"/>
    <s v="UGAOO Variegated Money Plant  "/>
    <n v="449"/>
    <n v="384"/>
    <n v="0.14000000000000001"/>
    <n v="4.4000000000000004"/>
    <x v="1"/>
    <x v="1"/>
    <x v="2"/>
    <x v="2"/>
    <x v="0"/>
  </r>
  <r>
    <n v="1754310496"/>
    <n v="330"/>
    <x v="8"/>
    <s v="UGAOO Jade Plant  "/>
    <n v="499"/>
    <n v="335"/>
    <n v="0.32"/>
    <n v="4"/>
    <x v="1"/>
    <x v="3"/>
    <x v="2"/>
    <x v="2"/>
    <x v="0"/>
  </r>
  <r>
    <n v="1754310498"/>
    <n v="331"/>
    <x v="13"/>
    <s v="Cloud Farm Clove Plant  "/>
    <n v="299"/>
    <n v="145"/>
    <n v="0.51"/>
    <n v="4"/>
    <x v="0"/>
    <x v="2"/>
    <x v="0"/>
    <x v="6"/>
    <x v="0"/>
  </r>
  <r>
    <n v="1754310501"/>
    <n v="332"/>
    <x v="13"/>
    <s v="Cloud Farm Clove Plant  "/>
    <n v="299"/>
    <n v="145"/>
    <n v="0.51"/>
    <n v="4"/>
    <x v="0"/>
    <x v="2"/>
    <x v="0"/>
    <x v="19"/>
    <x v="0"/>
  </r>
  <r>
    <n v="1754310504"/>
    <n v="333"/>
    <x v="8"/>
    <s v="UGAOO Jade Plant  "/>
    <n v="749"/>
    <n v="516"/>
    <n v="0.31"/>
    <n v="3.6"/>
    <x v="1"/>
    <x v="3"/>
    <x v="2"/>
    <x v="2"/>
    <x v="0"/>
  </r>
  <r>
    <n v="1754310506"/>
    <n v="334"/>
    <x v="11"/>
    <s v="UGAOO Njoy Money Plant  "/>
    <n v="549"/>
    <n v="388"/>
    <n v="0.28999999999999998"/>
    <n v="4.3"/>
    <x v="1"/>
    <x v="5"/>
    <x v="2"/>
    <x v="2"/>
    <x v="0"/>
  </r>
  <r>
    <n v="1754310509"/>
    <n v="335"/>
    <x v="13"/>
    <s v="Cloud Farm Clove Plant  "/>
    <n v="499"/>
    <n v="142"/>
    <n v="0.71"/>
    <n v="4"/>
    <x v="0"/>
    <x v="2"/>
    <x v="1"/>
    <x v="19"/>
    <x v="0"/>
  </r>
  <r>
    <n v="1754310511"/>
    <n v="336"/>
    <x v="148"/>
    <s v="Cloud Farm Grapes Plant  "/>
    <n v="499"/>
    <n v="182"/>
    <n v="0.63"/>
    <n v="3.4"/>
    <x v="1"/>
    <x v="7"/>
    <x v="1"/>
    <x v="3"/>
    <x v="0"/>
  </r>
  <r>
    <n v="1754310514"/>
    <n v="337"/>
    <x v="155"/>
    <s v="Cloud Farm Parijat/Harsingar Plant  "/>
    <n v="199"/>
    <n v="145"/>
    <n v="0.27"/>
    <n v="1.1000000000000001"/>
    <x v="1"/>
    <x v="2"/>
    <x v="0"/>
    <x v="6"/>
    <x v="0"/>
  </r>
  <r>
    <n v="1754310516"/>
    <n v="338"/>
    <x v="98"/>
    <s v="Cloud Farm Ashok Plant  "/>
    <n v="499"/>
    <n v="155"/>
    <n v="0.68"/>
    <n v="4"/>
    <x v="1"/>
    <x v="9"/>
    <x v="0"/>
    <x v="3"/>
    <x v="0"/>
  </r>
  <r>
    <n v="1754310519"/>
    <n v="339"/>
    <x v="3"/>
    <s v="UGAOO Golden Money Plant  "/>
    <n v="449"/>
    <n v="349"/>
    <n v="0.22"/>
    <n v="4.3"/>
    <x v="1"/>
    <x v="1"/>
    <x v="2"/>
    <x v="2"/>
    <x v="0"/>
  </r>
  <r>
    <n v="1754310521"/>
    <n v="340"/>
    <x v="3"/>
    <s v="UGAOO Golden Money Plant  "/>
    <n v="449"/>
    <n v="349"/>
    <n v="0.22"/>
    <n v="4.3"/>
    <x v="1"/>
    <x v="1"/>
    <x v="2"/>
    <x v="2"/>
    <x v="0"/>
  </r>
  <r>
    <n v="1754310524"/>
    <n v="341"/>
    <x v="158"/>
    <s v="AloGardening Guava Plant  "/>
    <n v="211"/>
    <n v="150"/>
    <n v="0.28000000000000003"/>
    <n v="3.6"/>
    <x v="1"/>
    <x v="7"/>
    <x v="1"/>
    <x v="11"/>
    <x v="0"/>
  </r>
  <r>
    <n v="1754310527"/>
    <n v="342"/>
    <x v="13"/>
    <s v="Cloud Farm Clove Plant  "/>
    <n v="399"/>
    <n v="144"/>
    <n v="0.63"/>
    <n v="2.5"/>
    <x v="0"/>
    <x v="2"/>
    <x v="0"/>
    <x v="19"/>
    <x v="0"/>
  </r>
  <r>
    <n v="1754310529"/>
    <n v="343"/>
    <x v="8"/>
    <s v="UGAOO Jade Plant  "/>
    <n v="499"/>
    <n v="424"/>
    <n v="0.15"/>
    <n v="4.3"/>
    <x v="1"/>
    <x v="3"/>
    <x v="2"/>
    <x v="2"/>
    <x v="0"/>
  </r>
  <r>
    <n v="1754310532"/>
    <n v="344"/>
    <x v="2"/>
    <s v="UGAOO Variegated Money Plant  "/>
    <n v="449"/>
    <n v="359"/>
    <n v="0.2"/>
    <n v="4.4000000000000004"/>
    <x v="1"/>
    <x v="1"/>
    <x v="2"/>
    <x v="2"/>
    <x v="0"/>
  </r>
  <r>
    <n v="1754310534"/>
    <n v="345"/>
    <x v="151"/>
    <s v="Cloud Farm Guava Plant  "/>
    <n v="299"/>
    <n v="144"/>
    <n v="0.51"/>
    <n v="2.4"/>
    <x v="0"/>
    <x v="7"/>
    <x v="0"/>
    <x v="19"/>
    <x v="0"/>
  </r>
  <r>
    <n v="1754310537"/>
    <n v="346"/>
    <x v="13"/>
    <s v="Cloud Farm Clove Plant  "/>
    <n v="399"/>
    <n v="137"/>
    <n v="0.65"/>
    <n v="3.5"/>
    <x v="0"/>
    <x v="2"/>
    <x v="0"/>
    <x v="19"/>
    <x v="0"/>
  </r>
  <r>
    <n v="1754310539"/>
    <n v="347"/>
    <x v="159"/>
    <s v="GIRISHA TRADERS Two Layer Bamboo Plant, Lucky Bamboo Straight Stick, Dracaena Plant  "/>
    <n v="599"/>
    <n v="250"/>
    <n v="0.57999999999999996"/>
    <n v="3.6"/>
    <x v="1"/>
    <x v="6"/>
    <x v="2"/>
    <x v="68"/>
    <x v="0"/>
  </r>
  <r>
    <n v="1754310542"/>
    <n v="348"/>
    <x v="160"/>
    <s v="Cloud Farm Tulsi Plant  "/>
    <n v="499"/>
    <n v="145"/>
    <n v="0.7"/>
    <n v="4"/>
    <x v="0"/>
    <x v="9"/>
    <x v="1"/>
    <x v="3"/>
    <x v="0"/>
  </r>
  <r>
    <n v="1754310544"/>
    <n v="349"/>
    <x v="8"/>
    <s v="UGAOO Jade Plant  "/>
    <n v="449"/>
    <n v="335"/>
    <n v="0.25"/>
    <n v="4"/>
    <x v="1"/>
    <x v="3"/>
    <x v="2"/>
    <x v="2"/>
    <x v="0"/>
  </r>
  <r>
    <n v="1754310547"/>
    <n v="350"/>
    <x v="8"/>
    <s v="UGAOO Jade Plant  "/>
    <n v="499"/>
    <n v="426"/>
    <n v="0.14000000000000001"/>
    <n v="4.2"/>
    <x v="1"/>
    <x v="3"/>
    <x v="2"/>
    <x v="2"/>
    <x v="0"/>
  </r>
  <r>
    <n v="1754310549"/>
    <n v="351"/>
    <x v="161"/>
    <s v="Cloud Farm Kiwi Plant  "/>
    <n v="399"/>
    <n v="160"/>
    <n v="0.59"/>
    <n v="4"/>
    <x v="0"/>
    <x v="7"/>
    <x v="0"/>
    <x v="3"/>
    <x v="0"/>
  </r>
  <r>
    <n v="1754310552"/>
    <n v="352"/>
    <x v="162"/>
    <s v="Cloud Farm Peace Lily Plant  "/>
    <n v="499"/>
    <n v="169"/>
    <n v="0.66"/>
    <n v="4"/>
    <x v="0"/>
    <x v="4"/>
    <x v="2"/>
    <x v="3"/>
    <x v="0"/>
  </r>
  <r>
    <n v="1754310554"/>
    <n v="353"/>
    <x v="8"/>
    <s v="UGAOO Jade Plant  "/>
    <n v="499"/>
    <n v="335"/>
    <n v="0.32"/>
    <n v="4"/>
    <x v="1"/>
    <x v="3"/>
    <x v="2"/>
    <x v="2"/>
    <x v="0"/>
  </r>
  <r>
    <n v="1754310557"/>
    <n v="354"/>
    <x v="2"/>
    <s v="UGAOO Variegated Money Plant  "/>
    <n v="445"/>
    <n v="335"/>
    <n v="0.24"/>
    <n v="4.4000000000000004"/>
    <x v="1"/>
    <x v="1"/>
    <x v="2"/>
    <x v="2"/>
    <x v="0"/>
  </r>
  <r>
    <n v="1754310559"/>
    <n v="355"/>
    <x v="163"/>
    <s v="Real Nature Two Layer Bamboo Plant  "/>
    <n v="699"/>
    <n v="297"/>
    <n v="0.56999999999999995"/>
    <n v="4.2"/>
    <x v="1"/>
    <x v="6"/>
    <x v="2"/>
    <x v="69"/>
    <x v="0"/>
  </r>
  <r>
    <n v="1754310562"/>
    <n v="356"/>
    <x v="164"/>
    <s v="Cloud Farm Ficus Plant  "/>
    <n v="299"/>
    <n v="145"/>
    <n v="0.51"/>
    <n v="1.8"/>
    <x v="1"/>
    <x v="0"/>
    <x v="1"/>
    <x v="3"/>
    <x v="0"/>
  </r>
  <r>
    <n v="1754310565"/>
    <n v="357"/>
    <x v="165"/>
    <s v="GrowWithUs Clitoria Ternatea Aparajita Plant, Clitoria Ternatea Aparajita Plant  "/>
    <n v="499"/>
    <n v="198"/>
    <n v="0.6"/>
    <n v="4"/>
    <x v="0"/>
    <x v="9"/>
    <x v="1"/>
    <x v="70"/>
    <x v="0"/>
  </r>
  <r>
    <n v="1754310567"/>
    <n v="358"/>
    <x v="30"/>
    <s v="Cloud Farm ZZ Plant  "/>
    <n v="299"/>
    <n v="145"/>
    <n v="0.51"/>
    <n v="1.7"/>
    <x v="1"/>
    <x v="0"/>
    <x v="1"/>
    <x v="3"/>
    <x v="0"/>
  </r>
  <r>
    <n v="1754310570"/>
    <n v="359"/>
    <x v="8"/>
    <s v="UGAOO Jade Plant  "/>
    <n v="495"/>
    <n v="331"/>
    <n v="0.33"/>
    <n v="4.0999999999999996"/>
    <x v="1"/>
    <x v="3"/>
    <x v="2"/>
    <x v="2"/>
    <x v="0"/>
  </r>
  <r>
    <n v="1754310572"/>
    <n v="360"/>
    <x v="8"/>
    <s v="UGAOO Jade Plant  "/>
    <n v="349"/>
    <n v="325"/>
    <n v="0.06"/>
    <n v="4"/>
    <x v="1"/>
    <x v="3"/>
    <x v="2"/>
    <x v="2"/>
    <x v="0"/>
  </r>
  <r>
    <n v="1754310578"/>
    <n v="361"/>
    <x v="13"/>
    <s v="Cloud Farm Clove Plant  "/>
    <n v="299"/>
    <n v="145"/>
    <n v="0.51"/>
    <n v="3.5"/>
    <x v="0"/>
    <x v="2"/>
    <x v="0"/>
    <x v="19"/>
    <x v="0"/>
  </r>
  <r>
    <n v="1754310580"/>
    <n v="362"/>
    <x v="116"/>
    <s v="Oxygreenplant Shahtoot/Mulberry Plant  "/>
    <n v="399"/>
    <n v="140"/>
    <n v="0.64"/>
    <n v="3.6"/>
    <x v="1"/>
    <x v="7"/>
    <x v="1"/>
    <x v="0"/>
    <x v="0"/>
  </r>
  <r>
    <n v="1754310583"/>
    <n v="363"/>
    <x v="3"/>
    <s v="UGAOO Golden Money Plant  "/>
    <n v="449"/>
    <n v="349"/>
    <n v="0.22"/>
    <n v="4.3"/>
    <x v="1"/>
    <x v="1"/>
    <x v="2"/>
    <x v="2"/>
    <x v="0"/>
  </r>
  <r>
    <n v="1754310586"/>
    <n v="364"/>
    <x v="2"/>
    <s v="UGAOO Variegated Money Plant  "/>
    <n v="449"/>
    <n v="384"/>
    <n v="0.14000000000000001"/>
    <n v="4.4000000000000004"/>
    <x v="1"/>
    <x v="1"/>
    <x v="2"/>
    <x v="2"/>
    <x v="0"/>
  </r>
  <r>
    <n v="1754310588"/>
    <n v="365"/>
    <x v="148"/>
    <s v="Cloud Farm Grapes Plant  "/>
    <n v="299"/>
    <n v="145"/>
    <n v="0.51"/>
    <n v="3.1"/>
    <x v="0"/>
    <x v="7"/>
    <x v="0"/>
    <x v="3"/>
    <x v="0"/>
  </r>
  <r>
    <n v="1754310591"/>
    <n v="366"/>
    <x v="124"/>
    <s v="Greenium Aglaonema Plant  "/>
    <n v="699"/>
    <n v="212"/>
    <n v="0.69"/>
    <n v="4"/>
    <x v="0"/>
    <x v="4"/>
    <x v="1"/>
    <x v="58"/>
    <x v="0"/>
  </r>
  <r>
    <n v="1754310593"/>
    <n v="367"/>
    <x v="161"/>
    <s v="Cloud Farm Kiwi Plant  "/>
    <n v="399"/>
    <n v="160"/>
    <n v="0.59"/>
    <n v="3.1"/>
    <x v="0"/>
    <x v="7"/>
    <x v="0"/>
    <x v="3"/>
    <x v="0"/>
  </r>
  <r>
    <n v="1754310596"/>
    <n v="368"/>
    <x v="74"/>
    <s v="Cloud Farm Pomegranate Plant  "/>
    <n v="399"/>
    <n v="145"/>
    <n v="0.63"/>
    <n v="3.7"/>
    <x v="0"/>
    <x v="7"/>
    <x v="0"/>
    <x v="3"/>
    <x v="0"/>
  </r>
  <r>
    <n v="1754310598"/>
    <n v="369"/>
    <x v="8"/>
    <s v="UGAOO Jade Plant  "/>
    <n v="499"/>
    <n v="335"/>
    <n v="0.32"/>
    <n v="4"/>
    <x v="1"/>
    <x v="3"/>
    <x v="2"/>
    <x v="2"/>
    <x v="0"/>
  </r>
  <r>
    <n v="1754310601"/>
    <n v="370"/>
    <x v="8"/>
    <s v="UGAOO Jade Plant  "/>
    <n v="749"/>
    <n v="516"/>
    <n v="0.31"/>
    <n v="3.6"/>
    <x v="1"/>
    <x v="3"/>
    <x v="2"/>
    <x v="2"/>
    <x v="0"/>
  </r>
  <r>
    <n v="1754310604"/>
    <n v="371"/>
    <x v="166"/>
    <s v="Cloud Farm Jack Fruit Plant  "/>
    <n v="299"/>
    <n v="145"/>
    <n v="0.51"/>
    <n v="3.3"/>
    <x v="0"/>
    <x v="7"/>
    <x v="0"/>
    <x v="3"/>
    <x v="0"/>
  </r>
  <r>
    <n v="1754310606"/>
    <n v="372"/>
    <x v="152"/>
    <s v="Cloud Farm Hibiscus Plant  "/>
    <n v="499"/>
    <n v="177"/>
    <n v="0.64"/>
    <n v="4"/>
    <x v="0"/>
    <x v="8"/>
    <x v="0"/>
    <x v="3"/>
    <x v="0"/>
  </r>
  <r>
    <n v="1754310609"/>
    <n v="373"/>
    <x v="11"/>
    <s v="UGAOO Njoy Money Plant  "/>
    <n v="549"/>
    <n v="388"/>
    <n v="0.28999999999999998"/>
    <n v="4.3"/>
    <x v="1"/>
    <x v="5"/>
    <x v="2"/>
    <x v="2"/>
    <x v="0"/>
  </r>
  <r>
    <n v="1754310611"/>
    <n v="374"/>
    <x v="3"/>
    <s v="UGAOO Golden Money Plant  "/>
    <n v="449"/>
    <n v="349"/>
    <n v="0.22"/>
    <n v="4.3"/>
    <x v="1"/>
    <x v="1"/>
    <x v="2"/>
    <x v="2"/>
    <x v="0"/>
  </r>
  <r>
    <n v="1754310614"/>
    <n v="375"/>
    <x v="167"/>
    <s v="Gabbro Two Layer Bamboo Plant  "/>
    <n v="1099"/>
    <n v="300"/>
    <n v="0.72"/>
    <n v="4.4000000000000004"/>
    <x v="0"/>
    <x v="6"/>
    <x v="2"/>
    <x v="55"/>
    <x v="0"/>
  </r>
  <r>
    <n v="1754310616"/>
    <n v="376"/>
    <x v="126"/>
    <s v="pomgardening Apple Plant  "/>
    <n v="759"/>
    <n v="120"/>
    <n v="0.84"/>
    <n v="3.5"/>
    <x v="1"/>
    <x v="7"/>
    <x v="0"/>
    <x v="59"/>
    <x v="0"/>
  </r>
  <r>
    <n v="1754310619"/>
    <n v="377"/>
    <x v="168"/>
    <s v="AMBRUZZ Rose Plant  "/>
    <n v="599"/>
    <n v="177"/>
    <n v="0.7"/>
    <n v="3.4"/>
    <x v="0"/>
    <x v="8"/>
    <x v="0"/>
    <x v="71"/>
    <x v="0"/>
  </r>
  <r>
    <n v="1754310622"/>
    <n v="378"/>
    <x v="148"/>
    <s v="Cloud Farm Grapes Plant  "/>
    <n v="299"/>
    <n v="145"/>
    <n v="0.51"/>
    <n v="4.3"/>
    <x v="0"/>
    <x v="7"/>
    <x v="0"/>
    <x v="3"/>
    <x v="0"/>
  </r>
  <r>
    <n v="1754310631"/>
    <n v="379"/>
    <x v="3"/>
    <s v="UGAOO Golden Money Plant  "/>
    <n v="449"/>
    <n v="349"/>
    <n v="0.22"/>
    <n v="4.3"/>
    <x v="1"/>
    <x v="1"/>
    <x v="2"/>
    <x v="2"/>
    <x v="0"/>
  </r>
  <r>
    <n v="1754310641"/>
    <n v="380"/>
    <x v="8"/>
    <s v="UGAOO Jade Plant  "/>
    <n v="499"/>
    <n v="424"/>
    <n v="0.15"/>
    <n v="4.3"/>
    <x v="1"/>
    <x v="3"/>
    <x v="2"/>
    <x v="2"/>
    <x v="0"/>
  </r>
  <r>
    <n v="1754310646"/>
    <n v="381"/>
    <x v="169"/>
    <s v="Hot Climate Apple Plant  "/>
    <n v="579"/>
    <n v="135"/>
    <n v="0.76"/>
    <n v="3.3"/>
    <x v="1"/>
    <x v="7"/>
    <x v="0"/>
    <x v="41"/>
    <x v="0"/>
  </r>
  <r>
    <n v="1754310648"/>
    <n v="382"/>
    <x v="151"/>
    <s v="Cloud Farm Guava Plant  "/>
    <n v="499"/>
    <n v="135"/>
    <n v="0.72"/>
    <n v="4"/>
    <x v="1"/>
    <x v="7"/>
    <x v="0"/>
    <x v="19"/>
    <x v="0"/>
  </r>
  <r>
    <n v="1754310655"/>
    <n v="383"/>
    <x v="2"/>
    <s v="UGAOO Variegated Money Plant  "/>
    <n v="449"/>
    <n v="359"/>
    <n v="0.2"/>
    <n v="4.4000000000000004"/>
    <x v="1"/>
    <x v="1"/>
    <x v="2"/>
    <x v="2"/>
    <x v="0"/>
  </r>
  <r>
    <n v="1754310657"/>
    <n v="384"/>
    <x v="8"/>
    <s v="UGAOO Jade Plant  "/>
    <n v="449"/>
    <n v="335"/>
    <n v="0.25"/>
    <n v="4"/>
    <x v="1"/>
    <x v="3"/>
    <x v="2"/>
    <x v="2"/>
    <x v="0"/>
  </r>
  <r>
    <n v="1754310661"/>
    <n v="385"/>
    <x v="170"/>
    <s v="AloGardening Adenium Plant  "/>
    <n v="789"/>
    <n v="286"/>
    <n v="0.63"/>
    <n v="3.3"/>
    <x v="1"/>
    <x v="8"/>
    <x v="1"/>
    <x v="11"/>
    <x v="0"/>
  </r>
  <r>
    <n v="1754310664"/>
    <n v="386"/>
    <x v="74"/>
    <s v="Cloud Farm Pomegranate Plant  "/>
    <n v="499"/>
    <n v="142"/>
    <n v="0.71"/>
    <n v="3.3"/>
    <x v="0"/>
    <x v="7"/>
    <x v="0"/>
    <x v="19"/>
    <x v="0"/>
  </r>
  <r>
    <n v="1754310669"/>
    <n v="387"/>
    <x v="171"/>
    <s v="Mohomaya Star Fruit Carambola Grafted Plant  "/>
    <n v="998"/>
    <n v="283"/>
    <n v="0.71"/>
    <n v="4"/>
    <x v="1"/>
    <x v="7"/>
    <x v="1"/>
    <x v="72"/>
    <x v="0"/>
  </r>
  <r>
    <n v="1754310682"/>
    <n v="388"/>
    <x v="172"/>
    <s v="Risenshine Apple Plant  "/>
    <n v="599"/>
    <n v="147"/>
    <n v="0.75"/>
    <n v="3.4"/>
    <x v="1"/>
    <x v="7"/>
    <x v="0"/>
    <x v="18"/>
    <x v="0"/>
  </r>
  <r>
    <n v="1754310685"/>
    <n v="389"/>
    <x v="8"/>
    <s v="UGAOO Jade Plant  "/>
    <n v="499"/>
    <n v="426"/>
    <n v="0.14000000000000001"/>
    <n v="4.2"/>
    <x v="1"/>
    <x v="3"/>
    <x v="2"/>
    <x v="2"/>
    <x v="0"/>
  </r>
  <r>
    <n v="1754310687"/>
    <n v="390"/>
    <x v="8"/>
    <s v="UGAOO Jade Plant  "/>
    <n v="499"/>
    <n v="335"/>
    <n v="0.32"/>
    <n v="4"/>
    <x v="1"/>
    <x v="3"/>
    <x v="2"/>
    <x v="2"/>
    <x v="0"/>
  </r>
  <r>
    <n v="1754310689"/>
    <n v="391"/>
    <x v="162"/>
    <s v="Cloud Farm Peace Lily Plant  "/>
    <n v="400"/>
    <n v="179"/>
    <n v="0.55000000000000004"/>
    <n v="3.4"/>
    <x v="0"/>
    <x v="8"/>
    <x v="2"/>
    <x v="3"/>
    <x v="0"/>
  </r>
  <r>
    <n v="1754310693"/>
    <n v="392"/>
    <x v="29"/>
    <s v="FSK Clove Plant  "/>
    <n v="499"/>
    <n v="144"/>
    <n v="0.71"/>
    <n v="2.6"/>
    <x v="0"/>
    <x v="2"/>
    <x v="0"/>
    <x v="6"/>
    <x v="0"/>
  </r>
  <r>
    <n v="1754310696"/>
    <n v="393"/>
    <x v="121"/>
    <s v="Mohomaya Hibiscus Plant  "/>
    <n v="999"/>
    <n v="283"/>
    <n v="0.71"/>
    <n v="4"/>
    <x v="1"/>
    <x v="8"/>
    <x v="1"/>
    <x v="56"/>
    <x v="0"/>
  </r>
  <r>
    <n v="1754310699"/>
    <n v="394"/>
    <x v="173"/>
    <s v="PLANTTOOZS Rose Plant  "/>
    <n v="499"/>
    <n v="139"/>
    <n v="0.72"/>
    <n v="3.8"/>
    <x v="1"/>
    <x v="8"/>
    <x v="1"/>
    <x v="0"/>
    <x v="0"/>
  </r>
  <r>
    <n v="1754310702"/>
    <n v="395"/>
    <x v="2"/>
    <s v="UGAOO Variegated Money Plant  "/>
    <n v="445"/>
    <n v="335"/>
    <n v="0.24"/>
    <n v="4.4000000000000004"/>
    <x v="1"/>
    <x v="1"/>
    <x v="2"/>
    <x v="2"/>
    <x v="0"/>
  </r>
  <r>
    <n v="1754310704"/>
    <n v="396"/>
    <x v="64"/>
    <s v="FSK Kiwi Plant  "/>
    <n v="499"/>
    <n v="135"/>
    <n v="0.72"/>
    <n v="3.4"/>
    <x v="0"/>
    <x v="7"/>
    <x v="0"/>
    <x v="43"/>
    <x v="0"/>
  </r>
  <r>
    <n v="1754310707"/>
    <n v="397"/>
    <x v="158"/>
    <s v="AloGardening Guava Plant  "/>
    <n v="349"/>
    <n v="142"/>
    <n v="0.59"/>
    <n v="3.5"/>
    <x v="1"/>
    <x v="7"/>
    <x v="1"/>
    <x v="11"/>
    <x v="0"/>
  </r>
  <r>
    <n v="1754310709"/>
    <n v="398"/>
    <x v="174"/>
    <s v="SKDIYA Money Plant  "/>
    <n v="499"/>
    <n v="167"/>
    <n v="0.66"/>
    <n v="3.5"/>
    <x v="1"/>
    <x v="5"/>
    <x v="1"/>
    <x v="73"/>
    <x v="0"/>
  </r>
  <r>
    <n v="1754310712"/>
    <n v="399"/>
    <x v="8"/>
    <s v="UGAOO Jade Plant  "/>
    <n v="495"/>
    <n v="331"/>
    <n v="0.33"/>
    <n v="4.0999999999999996"/>
    <x v="1"/>
    <x v="3"/>
    <x v="2"/>
    <x v="2"/>
    <x v="0"/>
  </r>
  <r>
    <n v="1754310715"/>
    <n v="400"/>
    <x v="8"/>
    <s v="UGAOO Jade Plant  "/>
    <n v="349"/>
    <n v="325"/>
    <n v="0.06"/>
    <n v="4"/>
    <x v="1"/>
    <x v="3"/>
    <x v="2"/>
    <x v="2"/>
    <x v="0"/>
  </r>
  <r>
    <n v="1754310717"/>
    <n v="401"/>
    <x v="13"/>
    <s v="Cloud Farm Clove Plant  "/>
    <n v="299"/>
    <n v="145"/>
    <n v="0.51"/>
    <n v="3.5"/>
    <x v="0"/>
    <x v="2"/>
    <x v="0"/>
    <x v="19"/>
    <x v="0"/>
  </r>
  <r>
    <n v="1754310723"/>
    <n v="402"/>
    <x v="116"/>
    <s v="Oxygreenplant Shahtoot/Mulberry Plant  "/>
    <n v="399"/>
    <n v="140"/>
    <n v="0.64"/>
    <n v="3.6"/>
    <x v="1"/>
    <x v="7"/>
    <x v="1"/>
    <x v="0"/>
    <x v="0"/>
  </r>
  <r>
    <n v="1754310726"/>
    <n v="403"/>
    <x v="3"/>
    <s v="UGAOO Golden Money Plant  "/>
    <n v="449"/>
    <n v="349"/>
    <n v="0.22"/>
    <n v="4.3"/>
    <x v="1"/>
    <x v="1"/>
    <x v="2"/>
    <x v="2"/>
    <x v="0"/>
  </r>
  <r>
    <n v="1754310728"/>
    <n v="404"/>
    <x v="2"/>
    <s v="UGAOO Variegated Money Plant  "/>
    <n v="449"/>
    <n v="384"/>
    <n v="0.14000000000000001"/>
    <n v="4.4000000000000004"/>
    <x v="1"/>
    <x v="1"/>
    <x v="2"/>
    <x v="2"/>
    <x v="0"/>
  </r>
  <r>
    <n v="1754310731"/>
    <n v="405"/>
    <x v="148"/>
    <s v="Cloud Farm Grapes Plant  "/>
    <n v="299"/>
    <n v="145"/>
    <n v="0.51"/>
    <n v="3.1"/>
    <x v="0"/>
    <x v="7"/>
    <x v="0"/>
    <x v="3"/>
    <x v="0"/>
  </r>
  <r>
    <n v="1754310733"/>
    <n v="406"/>
    <x v="112"/>
    <s v="Mohomaya Mango Plant  "/>
    <n v="999"/>
    <n v="220"/>
    <n v="0.77"/>
    <n v="4"/>
    <x v="1"/>
    <x v="7"/>
    <x v="1"/>
    <x v="54"/>
    <x v="0"/>
  </r>
  <r>
    <n v="1754310736"/>
    <n v="407"/>
    <x v="161"/>
    <s v="Cloud Farm Kiwi Plant  "/>
    <n v="399"/>
    <n v="160"/>
    <n v="0.59"/>
    <n v="3.1"/>
    <x v="0"/>
    <x v="7"/>
    <x v="0"/>
    <x v="3"/>
    <x v="0"/>
  </r>
  <r>
    <n v="1754310738"/>
    <n v="408"/>
    <x v="74"/>
    <s v="Cloud Farm Pomegranate Plant  "/>
    <n v="399"/>
    <n v="145"/>
    <n v="0.63"/>
    <n v="3.7"/>
    <x v="0"/>
    <x v="7"/>
    <x v="0"/>
    <x v="3"/>
    <x v="0"/>
  </r>
  <r>
    <n v="1754310741"/>
    <n v="409"/>
    <x v="8"/>
    <s v="UGAOO Jade Plant  "/>
    <n v="499"/>
    <n v="335"/>
    <n v="0.32"/>
    <n v="4"/>
    <x v="1"/>
    <x v="3"/>
    <x v="2"/>
    <x v="2"/>
    <x v="0"/>
  </r>
  <r>
    <n v="1754310743"/>
    <n v="410"/>
    <x v="8"/>
    <s v="UGAOO Jade Plant  "/>
    <n v="749"/>
    <n v="516"/>
    <n v="0.31"/>
    <n v="3.6"/>
    <x v="1"/>
    <x v="3"/>
    <x v="2"/>
    <x v="2"/>
    <x v="0"/>
  </r>
  <r>
    <n v="1754310746"/>
    <n v="411"/>
    <x v="166"/>
    <s v="Cloud Farm Jack Fruit Plant  "/>
    <n v="299"/>
    <n v="145"/>
    <n v="0.51"/>
    <n v="3.3"/>
    <x v="0"/>
    <x v="7"/>
    <x v="0"/>
    <x v="3"/>
    <x v="0"/>
  </r>
  <r>
    <n v="1754310748"/>
    <n v="412"/>
    <x v="124"/>
    <s v="Greenium Aglaonema Plant  "/>
    <n v="699"/>
    <n v="212"/>
    <n v="0.69"/>
    <n v="4"/>
    <x v="0"/>
    <x v="4"/>
    <x v="1"/>
    <x v="58"/>
    <x v="0"/>
  </r>
  <r>
    <n v="1754310756"/>
    <n v="413"/>
    <x v="11"/>
    <s v="UGAOO Njoy Money Plant  "/>
    <n v="549"/>
    <n v="388"/>
    <n v="0.28999999999999998"/>
    <n v="4.3"/>
    <x v="1"/>
    <x v="5"/>
    <x v="2"/>
    <x v="2"/>
    <x v="0"/>
  </r>
  <r>
    <n v="1754310758"/>
    <n v="414"/>
    <x v="3"/>
    <s v="UGAOO Golden Money Plant  "/>
    <n v="449"/>
    <n v="349"/>
    <n v="0.22"/>
    <n v="4.3"/>
    <x v="1"/>
    <x v="1"/>
    <x v="2"/>
    <x v="2"/>
    <x v="0"/>
  </r>
  <r>
    <n v="1754310761"/>
    <n v="415"/>
    <x v="167"/>
    <s v="Gabbro Two Layer Bamboo Plant  "/>
    <n v="1099"/>
    <n v="300"/>
    <n v="0.72"/>
    <n v="4.4000000000000004"/>
    <x v="0"/>
    <x v="6"/>
    <x v="2"/>
    <x v="55"/>
    <x v="0"/>
  </r>
  <r>
    <n v="1754310764"/>
    <n v="416"/>
    <x v="126"/>
    <s v="pomgardening Apple Plant  "/>
    <n v="759"/>
    <n v="120"/>
    <n v="0.84"/>
    <n v="3.5"/>
    <x v="1"/>
    <x v="7"/>
    <x v="0"/>
    <x v="59"/>
    <x v="0"/>
  </r>
  <r>
    <n v="1754310767"/>
    <n v="417"/>
    <x v="168"/>
    <s v="AMBRUZZ Rose Plant  "/>
    <n v="599"/>
    <n v="177"/>
    <n v="0.7"/>
    <n v="3.4"/>
    <x v="0"/>
    <x v="8"/>
    <x v="0"/>
    <x v="71"/>
    <x v="0"/>
  </r>
  <r>
    <n v="1754310769"/>
    <n v="418"/>
    <x v="148"/>
    <s v="Cloud Farm Grapes Plant  "/>
    <n v="299"/>
    <n v="145"/>
    <n v="0.51"/>
    <n v="4.3"/>
    <x v="0"/>
    <x v="7"/>
    <x v="0"/>
    <x v="3"/>
    <x v="0"/>
  </r>
  <r>
    <n v="1754310772"/>
    <n v="419"/>
    <x v="3"/>
    <s v="UGAOO Golden Money Plant  "/>
    <n v="449"/>
    <n v="349"/>
    <n v="0.22"/>
    <n v="4.3"/>
    <x v="1"/>
    <x v="1"/>
    <x v="2"/>
    <x v="2"/>
    <x v="0"/>
  </r>
  <r>
    <n v="1754310775"/>
    <n v="420"/>
    <x v="8"/>
    <s v="UGAOO Jade Plant  "/>
    <n v="499"/>
    <n v="424"/>
    <n v="0.15"/>
    <n v="4.3"/>
    <x v="1"/>
    <x v="3"/>
    <x v="2"/>
    <x v="2"/>
    <x v="0"/>
  </r>
  <r>
    <n v="1754310777"/>
    <n v="421"/>
    <x v="169"/>
    <s v="Hot Climate Apple Plant  "/>
    <n v="579"/>
    <n v="135"/>
    <n v="0.76"/>
    <n v="3.3"/>
    <x v="1"/>
    <x v="7"/>
    <x v="0"/>
    <x v="41"/>
    <x v="0"/>
  </r>
  <r>
    <n v="1754310780"/>
    <n v="422"/>
    <x v="151"/>
    <s v="Cloud Farm Guava Plant  "/>
    <n v="499"/>
    <n v="135"/>
    <n v="0.72"/>
    <n v="4"/>
    <x v="1"/>
    <x v="7"/>
    <x v="0"/>
    <x v="19"/>
    <x v="0"/>
  </r>
  <r>
    <n v="1754310782"/>
    <n v="423"/>
    <x v="2"/>
    <s v="UGAOO Variegated Money Plant  "/>
    <n v="449"/>
    <n v="359"/>
    <n v="0.2"/>
    <n v="4.4000000000000004"/>
    <x v="1"/>
    <x v="1"/>
    <x v="2"/>
    <x v="2"/>
    <x v="0"/>
  </r>
  <r>
    <n v="1754310785"/>
    <n v="424"/>
    <x v="8"/>
    <s v="UGAOO Jade Plant  "/>
    <n v="449"/>
    <n v="335"/>
    <n v="0.25"/>
    <n v="4"/>
    <x v="1"/>
    <x v="3"/>
    <x v="2"/>
    <x v="2"/>
    <x v="0"/>
  </r>
  <r>
    <n v="1754310796"/>
    <n v="425"/>
    <x v="170"/>
    <s v="AloGardening Adenium Plant  "/>
    <n v="789"/>
    <n v="286"/>
    <n v="0.63"/>
    <n v="3.3"/>
    <x v="1"/>
    <x v="8"/>
    <x v="1"/>
    <x v="11"/>
    <x v="0"/>
  </r>
  <r>
    <n v="1754310799"/>
    <n v="426"/>
    <x v="74"/>
    <s v="Cloud Farm Pomegranate Plant  "/>
    <n v="499"/>
    <n v="142"/>
    <n v="0.71"/>
    <n v="3.3"/>
    <x v="0"/>
    <x v="7"/>
    <x v="0"/>
    <x v="19"/>
    <x v="0"/>
  </r>
  <r>
    <n v="1754310801"/>
    <n v="427"/>
    <x v="171"/>
    <s v="Mohomaya Star Fruit Carambola Grafted Plant  "/>
    <n v="998"/>
    <n v="283"/>
    <n v="0.71"/>
    <n v="4"/>
    <x v="1"/>
    <x v="7"/>
    <x v="1"/>
    <x v="72"/>
    <x v="0"/>
  </r>
  <r>
    <n v="1754310804"/>
    <n v="428"/>
    <x v="172"/>
    <s v="Risenshine Apple Plant  "/>
    <n v="599"/>
    <n v="147"/>
    <n v="0.75"/>
    <n v="3.4"/>
    <x v="1"/>
    <x v="7"/>
    <x v="0"/>
    <x v="18"/>
    <x v="0"/>
  </r>
  <r>
    <n v="1754310806"/>
    <n v="429"/>
    <x v="8"/>
    <s v="UGAOO Jade Plant  "/>
    <n v="499"/>
    <n v="426"/>
    <n v="0.14000000000000001"/>
    <n v="4.2"/>
    <x v="1"/>
    <x v="3"/>
    <x v="2"/>
    <x v="2"/>
    <x v="0"/>
  </r>
  <r>
    <n v="1754310809"/>
    <n v="430"/>
    <x v="8"/>
    <s v="UGAOO Jade Plant  "/>
    <n v="499"/>
    <n v="335"/>
    <n v="0.32"/>
    <n v="4"/>
    <x v="1"/>
    <x v="3"/>
    <x v="2"/>
    <x v="2"/>
    <x v="0"/>
  </r>
  <r>
    <n v="1754310811"/>
    <n v="431"/>
    <x v="162"/>
    <s v="Cloud Farm Peace Lily Plant  "/>
    <n v="400"/>
    <n v="179"/>
    <n v="0.55000000000000004"/>
    <n v="3.4"/>
    <x v="0"/>
    <x v="8"/>
    <x v="2"/>
    <x v="3"/>
    <x v="0"/>
  </r>
  <r>
    <n v="1754310814"/>
    <n v="432"/>
    <x v="29"/>
    <s v="FSK Clove Plant  "/>
    <n v="499"/>
    <n v="144"/>
    <n v="0.71"/>
    <n v="2.6"/>
    <x v="0"/>
    <x v="2"/>
    <x v="0"/>
    <x v="6"/>
    <x v="0"/>
  </r>
  <r>
    <n v="1754310816"/>
    <n v="433"/>
    <x v="121"/>
    <s v="Mohomaya Hibiscus Plant  "/>
    <n v="999"/>
    <n v="283"/>
    <n v="0.71"/>
    <n v="4"/>
    <x v="1"/>
    <x v="8"/>
    <x v="1"/>
    <x v="56"/>
    <x v="0"/>
  </r>
  <r>
    <n v="1754310819"/>
    <n v="434"/>
    <x v="173"/>
    <s v="PLANTTOOZS Rose Plant  "/>
    <n v="499"/>
    <n v="139"/>
    <n v="0.72"/>
    <n v="3.8"/>
    <x v="1"/>
    <x v="8"/>
    <x v="1"/>
    <x v="0"/>
    <x v="0"/>
  </r>
  <r>
    <n v="1754310824"/>
    <n v="435"/>
    <x v="2"/>
    <s v="UGAOO Variegated Money Plant  "/>
    <n v="445"/>
    <n v="335"/>
    <n v="0.24"/>
    <n v="4.4000000000000004"/>
    <x v="1"/>
    <x v="1"/>
    <x v="2"/>
    <x v="2"/>
    <x v="0"/>
  </r>
  <r>
    <n v="1754310842"/>
    <n v="436"/>
    <x v="64"/>
    <s v="FSK Kiwi Plant  "/>
    <n v="499"/>
    <n v="135"/>
    <n v="0.72"/>
    <n v="3.4"/>
    <x v="0"/>
    <x v="7"/>
    <x v="0"/>
    <x v="43"/>
    <x v="0"/>
  </r>
  <r>
    <n v="1754310853"/>
    <n v="437"/>
    <x v="158"/>
    <s v="AloGardening Guava Plant  "/>
    <n v="349"/>
    <n v="142"/>
    <n v="0.59"/>
    <n v="3.5"/>
    <x v="1"/>
    <x v="7"/>
    <x v="1"/>
    <x v="11"/>
    <x v="0"/>
  </r>
  <r>
    <n v="1754310856"/>
    <n v="438"/>
    <x v="174"/>
    <s v="SKDIYA Money Plant  "/>
    <n v="499"/>
    <n v="167"/>
    <n v="0.66"/>
    <n v="3.5"/>
    <x v="1"/>
    <x v="5"/>
    <x v="1"/>
    <x v="73"/>
    <x v="0"/>
  </r>
  <r>
    <n v="1754310859"/>
    <n v="439"/>
    <x v="8"/>
    <s v="UGAOO Jade Plant  "/>
    <n v="495"/>
    <n v="331"/>
    <n v="0.33"/>
    <n v="4.0999999999999996"/>
    <x v="1"/>
    <x v="3"/>
    <x v="2"/>
    <x v="2"/>
    <x v="0"/>
  </r>
  <r>
    <n v="1754310861"/>
    <n v="440"/>
    <x v="8"/>
    <s v="UGAOO Jade Plant  "/>
    <n v="349"/>
    <n v="325"/>
    <n v="0.06"/>
    <n v="4"/>
    <x v="1"/>
    <x v="3"/>
    <x v="2"/>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DDA374-5BB8-4B90-AB14-8F2299EE804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13">
    <pivotField showAll="0"/>
    <pivotField showAll="0"/>
    <pivotField showAll="0">
      <items count="176">
        <item x="94"/>
        <item x="38"/>
        <item x="10"/>
        <item x="28"/>
        <item x="80"/>
        <item x="17"/>
        <item x="6"/>
        <item x="127"/>
        <item x="14"/>
        <item x="170"/>
        <item x="37"/>
        <item x="158"/>
        <item x="114"/>
        <item x="18"/>
        <item x="157"/>
        <item x="168"/>
        <item x="78"/>
        <item x="146"/>
        <item x="82"/>
        <item x="118"/>
        <item x="50"/>
        <item x="83"/>
        <item x="56"/>
        <item x="123"/>
        <item x="150"/>
        <item x="91"/>
        <item x="19"/>
        <item x="134"/>
        <item x="93"/>
        <item x="105"/>
        <item x="60"/>
        <item x="1"/>
        <item x="63"/>
        <item x="47"/>
        <item x="117"/>
        <item x="88"/>
        <item x="144"/>
        <item x="98"/>
        <item x="16"/>
        <item x="13"/>
        <item x="9"/>
        <item x="49"/>
        <item x="164"/>
        <item x="148"/>
        <item x="151"/>
        <item x="152"/>
        <item x="166"/>
        <item x="51"/>
        <item x="132"/>
        <item x="161"/>
        <item x="149"/>
        <item x="155"/>
        <item x="162"/>
        <item x="113"/>
        <item x="23"/>
        <item x="140"/>
        <item x="74"/>
        <item x="57"/>
        <item x="153"/>
        <item x="160"/>
        <item x="75"/>
        <item x="30"/>
        <item x="89"/>
        <item x="39"/>
        <item x="96"/>
        <item x="142"/>
        <item x="76"/>
        <item x="141"/>
        <item x="46"/>
        <item x="69"/>
        <item x="68"/>
        <item x="7"/>
        <item x="143"/>
        <item x="108"/>
        <item x="34"/>
        <item x="139"/>
        <item x="92"/>
        <item x="29"/>
        <item x="64"/>
        <item x="120"/>
        <item x="167"/>
        <item x="159"/>
        <item x="70"/>
        <item x="95"/>
        <item x="99"/>
        <item x="22"/>
        <item x="156"/>
        <item x="67"/>
        <item x="87"/>
        <item x="129"/>
        <item x="85"/>
        <item x="125"/>
        <item x="122"/>
        <item x="84"/>
        <item x="71"/>
        <item x="43"/>
        <item x="124"/>
        <item x="21"/>
        <item x="62"/>
        <item x="20"/>
        <item x="133"/>
        <item x="165"/>
        <item x="48"/>
        <item x="72"/>
        <item x="52"/>
        <item x="169"/>
        <item x="128"/>
        <item x="59"/>
        <item x="5"/>
        <item x="40"/>
        <item x="42"/>
        <item x="119"/>
        <item x="53"/>
        <item x="81"/>
        <item x="66"/>
        <item x="110"/>
        <item x="58"/>
        <item x="154"/>
        <item x="41"/>
        <item x="106"/>
        <item x="104"/>
        <item x="109"/>
        <item x="138"/>
        <item x="12"/>
        <item x="44"/>
        <item x="121"/>
        <item x="112"/>
        <item x="171"/>
        <item x="115"/>
        <item x="135"/>
        <item x="33"/>
        <item x="137"/>
        <item x="25"/>
        <item x="0"/>
        <item x="15"/>
        <item x="116"/>
        <item x="55"/>
        <item x="32"/>
        <item x="36"/>
        <item x="31"/>
        <item x="131"/>
        <item x="107"/>
        <item x="77"/>
        <item x="103"/>
        <item x="35"/>
        <item x="4"/>
        <item x="101"/>
        <item x="173"/>
        <item x="97"/>
        <item x="126"/>
        <item x="163"/>
        <item x="172"/>
        <item x="65"/>
        <item x="145"/>
        <item x="61"/>
        <item x="111"/>
        <item x="45"/>
        <item x="73"/>
        <item x="90"/>
        <item x="174"/>
        <item x="26"/>
        <item x="79"/>
        <item x="54"/>
        <item x="100"/>
        <item x="27"/>
        <item x="3"/>
        <item x="8"/>
        <item x="24"/>
        <item x="11"/>
        <item x="130"/>
        <item x="147"/>
        <item x="136"/>
        <item x="2"/>
        <item x="86"/>
        <item x="102"/>
        <item t="default"/>
      </items>
    </pivotField>
    <pivotField dataField="1" showAll="0"/>
    <pivotField numFmtId="2" showAll="0"/>
    <pivotField numFmtId="2" showAll="0"/>
    <pivotField numFmtId="9" showAll="0"/>
    <pivotField showAll="0"/>
    <pivotField axis="axisRow" showAll="0">
      <items count="5">
        <item m="1" x="3"/>
        <item x="2"/>
        <item x="0"/>
        <item x="1"/>
        <item t="default"/>
      </items>
    </pivotField>
    <pivotField showAll="0">
      <items count="12">
        <item x="4"/>
        <item x="6"/>
        <item x="0"/>
        <item x="10"/>
        <item x="8"/>
        <item x="5"/>
        <item x="7"/>
        <item x="2"/>
        <item x="1"/>
        <item x="3"/>
        <item x="9"/>
        <item t="default"/>
      </items>
    </pivotField>
    <pivotField showAll="0"/>
    <pivotField showAll="0"/>
    <pivotField showAll="0"/>
  </pivotFields>
  <rowFields count="1">
    <field x="8"/>
  </rowFields>
  <rowItems count="4">
    <i>
      <x v="1"/>
    </i>
    <i>
      <x v="2"/>
    </i>
    <i>
      <x v="3"/>
    </i>
    <i t="grand">
      <x/>
    </i>
  </rowItems>
  <colItems count="1">
    <i/>
  </colItems>
  <dataFields count="1">
    <dataField name="Count of NAME" fld="3" subtotal="count" baseField="0" baseItem="0"/>
  </dataFields>
  <chartFormats count="8">
    <chartFormat chart="0"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8" count="1" selected="0">
            <x v="1"/>
          </reference>
        </references>
      </pivotArea>
    </chartFormat>
    <chartFormat chart="10" format="7">
      <pivotArea type="data" outline="0" fieldPosition="0">
        <references count="2">
          <reference field="4294967294" count="1" selected="0">
            <x v="0"/>
          </reference>
          <reference field="8" count="1" selected="0">
            <x v="2"/>
          </reference>
        </references>
      </pivotArea>
    </chartFormat>
    <chartFormat chart="10" format="8">
      <pivotArea type="data" outline="0" fieldPosition="0">
        <references count="2">
          <reference field="4294967294" count="1" selected="0">
            <x v="0"/>
          </reference>
          <reference field="8" count="1" selected="0">
            <x v="3"/>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2"/>
          </reference>
        </references>
      </pivotArea>
    </chartFormat>
    <chartFormat chart="0"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0E61B2-D388-4491-A72A-5999F21FFB7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13">
    <pivotField showAll="0"/>
    <pivotField showAll="0"/>
    <pivotField showAll="0">
      <items count="176">
        <item x="94"/>
        <item x="38"/>
        <item x="10"/>
        <item x="28"/>
        <item x="80"/>
        <item x="17"/>
        <item x="6"/>
        <item x="127"/>
        <item x="14"/>
        <item x="170"/>
        <item x="37"/>
        <item x="158"/>
        <item x="114"/>
        <item x="18"/>
        <item x="157"/>
        <item x="168"/>
        <item x="78"/>
        <item x="146"/>
        <item x="82"/>
        <item x="118"/>
        <item x="50"/>
        <item x="83"/>
        <item x="56"/>
        <item x="123"/>
        <item x="150"/>
        <item x="91"/>
        <item x="19"/>
        <item x="134"/>
        <item x="93"/>
        <item x="105"/>
        <item x="60"/>
        <item x="1"/>
        <item x="63"/>
        <item x="47"/>
        <item x="117"/>
        <item x="88"/>
        <item x="144"/>
        <item x="98"/>
        <item x="16"/>
        <item x="13"/>
        <item x="9"/>
        <item x="49"/>
        <item x="164"/>
        <item x="148"/>
        <item x="151"/>
        <item x="152"/>
        <item x="166"/>
        <item x="51"/>
        <item x="132"/>
        <item x="161"/>
        <item x="149"/>
        <item x="155"/>
        <item x="162"/>
        <item x="113"/>
        <item x="23"/>
        <item x="140"/>
        <item x="74"/>
        <item x="57"/>
        <item x="153"/>
        <item x="160"/>
        <item x="75"/>
        <item x="30"/>
        <item x="89"/>
        <item x="39"/>
        <item x="96"/>
        <item x="142"/>
        <item x="76"/>
        <item x="141"/>
        <item x="46"/>
        <item x="69"/>
        <item x="68"/>
        <item x="7"/>
        <item x="143"/>
        <item x="108"/>
        <item x="34"/>
        <item x="139"/>
        <item x="92"/>
        <item x="29"/>
        <item x="64"/>
        <item x="120"/>
        <item x="167"/>
        <item x="159"/>
        <item x="70"/>
        <item x="95"/>
        <item x="99"/>
        <item x="22"/>
        <item x="156"/>
        <item x="67"/>
        <item x="87"/>
        <item x="129"/>
        <item x="85"/>
        <item x="125"/>
        <item x="122"/>
        <item x="84"/>
        <item x="71"/>
        <item x="43"/>
        <item x="124"/>
        <item x="21"/>
        <item x="62"/>
        <item x="20"/>
        <item x="133"/>
        <item x="165"/>
        <item x="48"/>
        <item x="72"/>
        <item x="52"/>
        <item x="169"/>
        <item x="128"/>
        <item x="59"/>
        <item x="5"/>
        <item x="40"/>
        <item x="42"/>
        <item x="119"/>
        <item x="53"/>
        <item x="81"/>
        <item x="66"/>
        <item x="110"/>
        <item x="58"/>
        <item x="154"/>
        <item x="41"/>
        <item x="106"/>
        <item x="104"/>
        <item x="109"/>
        <item x="138"/>
        <item x="12"/>
        <item x="44"/>
        <item x="121"/>
        <item x="112"/>
        <item x="171"/>
        <item x="115"/>
        <item x="135"/>
        <item x="33"/>
        <item x="137"/>
        <item x="25"/>
        <item x="0"/>
        <item x="15"/>
        <item x="116"/>
        <item x="55"/>
        <item x="32"/>
        <item x="36"/>
        <item x="31"/>
        <item x="131"/>
        <item x="107"/>
        <item x="77"/>
        <item x="103"/>
        <item x="35"/>
        <item x="4"/>
        <item x="101"/>
        <item x="173"/>
        <item x="97"/>
        <item x="126"/>
        <item x="163"/>
        <item x="172"/>
        <item x="65"/>
        <item x="145"/>
        <item x="61"/>
        <item x="111"/>
        <item x="45"/>
        <item x="73"/>
        <item x="90"/>
        <item x="174"/>
        <item x="26"/>
        <item x="79"/>
        <item x="54"/>
        <item x="100"/>
        <item x="27"/>
        <item x="3"/>
        <item x="8"/>
        <item x="24"/>
        <item x="11"/>
        <item x="130"/>
        <item x="147"/>
        <item x="136"/>
        <item x="2"/>
        <item x="86"/>
        <item x="102"/>
        <item t="default"/>
      </items>
    </pivotField>
    <pivotField dataField="1" showAll="0"/>
    <pivotField numFmtId="2" showAll="0"/>
    <pivotField numFmtId="2" showAll="0"/>
    <pivotField numFmtId="9" showAll="0"/>
    <pivotField showAll="0"/>
    <pivotField showAll="0"/>
    <pivotField showAll="0">
      <items count="12">
        <item x="4"/>
        <item x="6"/>
        <item x="0"/>
        <item x="10"/>
        <item x="8"/>
        <item x="5"/>
        <item x="7"/>
        <item x="2"/>
        <item x="1"/>
        <item x="3"/>
        <item x="9"/>
        <item t="default"/>
      </items>
    </pivotField>
    <pivotField axis="axisRow" showAll="0">
      <items count="4">
        <item x="1"/>
        <item x="2"/>
        <item x="0"/>
        <item t="default"/>
      </items>
    </pivotField>
    <pivotField showAll="0"/>
    <pivotField showAll="0"/>
  </pivotFields>
  <rowFields count="1">
    <field x="10"/>
  </rowFields>
  <rowItems count="4">
    <i>
      <x/>
    </i>
    <i>
      <x v="1"/>
    </i>
    <i>
      <x v="2"/>
    </i>
    <i t="grand">
      <x/>
    </i>
  </rowItems>
  <colItems count="1">
    <i/>
  </colItems>
  <dataFields count="1">
    <dataField name="Count of NAME" fld="3"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0E8C19-7890-4393-A37B-67A38809576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7" firstHeaderRow="1" firstDataRow="1" firstDataCol="1"/>
  <pivotFields count="13">
    <pivotField showAll="0"/>
    <pivotField showAll="0"/>
    <pivotField showAll="0">
      <items count="176">
        <item x="94"/>
        <item x="38"/>
        <item x="10"/>
        <item x="28"/>
        <item x="80"/>
        <item x="17"/>
        <item x="6"/>
        <item x="127"/>
        <item x="14"/>
        <item x="170"/>
        <item x="37"/>
        <item x="158"/>
        <item x="114"/>
        <item x="18"/>
        <item x="157"/>
        <item x="168"/>
        <item x="78"/>
        <item x="146"/>
        <item x="82"/>
        <item x="118"/>
        <item x="50"/>
        <item x="83"/>
        <item x="56"/>
        <item x="123"/>
        <item x="150"/>
        <item x="91"/>
        <item x="19"/>
        <item x="134"/>
        <item x="93"/>
        <item x="105"/>
        <item x="60"/>
        <item x="1"/>
        <item x="63"/>
        <item x="47"/>
        <item x="117"/>
        <item x="88"/>
        <item x="144"/>
        <item x="98"/>
        <item x="16"/>
        <item x="13"/>
        <item x="9"/>
        <item x="49"/>
        <item x="164"/>
        <item x="148"/>
        <item x="151"/>
        <item x="152"/>
        <item x="166"/>
        <item x="51"/>
        <item x="132"/>
        <item x="161"/>
        <item x="149"/>
        <item x="155"/>
        <item x="162"/>
        <item x="113"/>
        <item x="23"/>
        <item x="140"/>
        <item x="74"/>
        <item x="57"/>
        <item x="153"/>
        <item x="160"/>
        <item x="75"/>
        <item x="30"/>
        <item x="89"/>
        <item x="39"/>
        <item x="96"/>
        <item x="142"/>
        <item x="76"/>
        <item x="141"/>
        <item x="46"/>
        <item x="69"/>
        <item x="68"/>
        <item x="7"/>
        <item x="143"/>
        <item x="108"/>
        <item x="34"/>
        <item x="139"/>
        <item x="92"/>
        <item x="29"/>
        <item x="64"/>
        <item x="120"/>
        <item x="167"/>
        <item x="159"/>
        <item x="70"/>
        <item x="95"/>
        <item x="99"/>
        <item x="22"/>
        <item x="156"/>
        <item x="67"/>
        <item x="87"/>
        <item x="129"/>
        <item x="85"/>
        <item x="125"/>
        <item x="122"/>
        <item x="84"/>
        <item x="71"/>
        <item x="43"/>
        <item x="124"/>
        <item x="21"/>
        <item x="62"/>
        <item x="20"/>
        <item x="133"/>
        <item x="165"/>
        <item x="48"/>
        <item x="72"/>
        <item x="52"/>
        <item x="169"/>
        <item x="128"/>
        <item x="59"/>
        <item x="5"/>
        <item x="40"/>
        <item x="42"/>
        <item x="119"/>
        <item x="53"/>
        <item x="81"/>
        <item x="66"/>
        <item x="110"/>
        <item x="58"/>
        <item x="154"/>
        <item x="41"/>
        <item x="106"/>
        <item x="104"/>
        <item x="109"/>
        <item x="138"/>
        <item x="12"/>
        <item x="44"/>
        <item x="121"/>
        <item x="112"/>
        <item x="171"/>
        <item x="115"/>
        <item x="135"/>
        <item x="33"/>
        <item x="137"/>
        <item x="25"/>
        <item x="0"/>
        <item x="15"/>
        <item x="116"/>
        <item x="55"/>
        <item x="32"/>
        <item x="36"/>
        <item x="31"/>
        <item x="131"/>
        <item x="107"/>
        <item x="77"/>
        <item x="103"/>
        <item x="35"/>
        <item x="4"/>
        <item x="101"/>
        <item x="173"/>
        <item x="97"/>
        <item x="126"/>
        <item x="163"/>
        <item x="172"/>
        <item x="65"/>
        <item x="145"/>
        <item x="61"/>
        <item x="111"/>
        <item x="45"/>
        <item x="73"/>
        <item x="90"/>
        <item x="174"/>
        <item x="26"/>
        <item x="79"/>
        <item x="54"/>
        <item x="100"/>
        <item x="27"/>
        <item x="3"/>
        <item x="8"/>
        <item x="24"/>
        <item x="11"/>
        <item x="130"/>
        <item x="147"/>
        <item x="136"/>
        <item x="2"/>
        <item x="86"/>
        <item x="102"/>
        <item t="default"/>
      </items>
    </pivotField>
    <pivotField dataField="1" showAll="0"/>
    <pivotField numFmtId="2" showAll="0"/>
    <pivotField numFmtId="2" showAll="0"/>
    <pivotField numFmtId="9" showAll="0"/>
    <pivotField showAll="0"/>
    <pivotField showAll="0"/>
    <pivotField showAll="0">
      <items count="12">
        <item x="4"/>
        <item x="6"/>
        <item x="0"/>
        <item x="10"/>
        <item x="8"/>
        <item x="5"/>
        <item x="7"/>
        <item x="2"/>
        <item x="1"/>
        <item x="3"/>
        <item x="9"/>
        <item t="default"/>
      </items>
    </pivotField>
    <pivotField showAll="0"/>
    <pivotField axis="axisRow" showAll="0" measureFilter="1" sortType="descending">
      <items count="75">
        <item x="5"/>
        <item x="36"/>
        <item x="57"/>
        <item x="65"/>
        <item x="3"/>
        <item x="16"/>
        <item x="29"/>
        <item x="67"/>
        <item x="66"/>
        <item x="71"/>
        <item x="17"/>
        <item x="27"/>
        <item x="40"/>
        <item x="31"/>
        <item x="19"/>
        <item x="41"/>
        <item x="12"/>
        <item x="49"/>
        <item x="43"/>
        <item x="63"/>
        <item x="52"/>
        <item x="55"/>
        <item x="44"/>
        <item x="56"/>
        <item x="72"/>
        <item x="58"/>
        <item x="28"/>
        <item x="50"/>
        <item x="6"/>
        <item x="14"/>
        <item x="47"/>
        <item x="46"/>
        <item x="37"/>
        <item x="70"/>
        <item x="22"/>
        <item x="53"/>
        <item x="21"/>
        <item x="60"/>
        <item x="35"/>
        <item x="4"/>
        <item x="45"/>
        <item x="61"/>
        <item x="8"/>
        <item x="42"/>
        <item x="26"/>
        <item x="38"/>
        <item x="1"/>
        <item x="68"/>
        <item x="64"/>
        <item x="32"/>
        <item x="0"/>
        <item x="48"/>
        <item x="25"/>
        <item x="62"/>
        <item x="13"/>
        <item x="69"/>
        <item x="73"/>
        <item x="23"/>
        <item x="15"/>
        <item x="11"/>
        <item x="33"/>
        <item x="7"/>
        <item x="39"/>
        <item x="59"/>
        <item x="34"/>
        <item x="9"/>
        <item x="54"/>
        <item x="10"/>
        <item x="18"/>
        <item x="30"/>
        <item x="51"/>
        <item x="24"/>
        <item x="2"/>
        <item x="20"/>
        <item t="default"/>
      </items>
      <autoSortScope>
        <pivotArea dataOnly="0" outline="0" fieldPosition="0">
          <references count="1">
            <reference field="4294967294" count="1" selected="0">
              <x v="0"/>
            </reference>
          </references>
        </pivotArea>
      </autoSortScope>
    </pivotField>
    <pivotField showAll="0"/>
  </pivotFields>
  <rowFields count="1">
    <field x="11"/>
  </rowFields>
  <rowItems count="14">
    <i>
      <x v="72"/>
    </i>
    <i>
      <x v="4"/>
    </i>
    <i>
      <x v="14"/>
    </i>
    <i>
      <x v="28"/>
    </i>
    <i>
      <x v="59"/>
    </i>
    <i>
      <x v="50"/>
    </i>
    <i>
      <x v="65"/>
    </i>
    <i>
      <x v="68"/>
    </i>
    <i>
      <x v="18"/>
    </i>
    <i>
      <x v="11"/>
    </i>
    <i>
      <x v="23"/>
    </i>
    <i>
      <x v="46"/>
    </i>
    <i>
      <x v="43"/>
    </i>
    <i t="grand">
      <x/>
    </i>
  </rowItems>
  <colItems count="1">
    <i/>
  </colItems>
  <dataFields count="1">
    <dataField name="Count of NAME" fld="3"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BD4239-1477-49E2-A3D8-1565517196C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5" firstHeaderRow="1" firstDataRow="1" firstDataCol="1"/>
  <pivotFields count="13">
    <pivotField showAll="0"/>
    <pivotField showAll="0"/>
    <pivotField showAll="0">
      <items count="176">
        <item x="94"/>
        <item x="38"/>
        <item x="10"/>
        <item x="28"/>
        <item x="80"/>
        <item x="17"/>
        <item x="6"/>
        <item x="127"/>
        <item x="14"/>
        <item x="170"/>
        <item x="37"/>
        <item x="158"/>
        <item x="114"/>
        <item x="18"/>
        <item x="157"/>
        <item x="168"/>
        <item x="78"/>
        <item x="146"/>
        <item x="82"/>
        <item x="118"/>
        <item x="50"/>
        <item x="83"/>
        <item x="56"/>
        <item x="123"/>
        <item x="150"/>
        <item x="91"/>
        <item x="19"/>
        <item x="134"/>
        <item x="93"/>
        <item x="105"/>
        <item x="60"/>
        <item x="1"/>
        <item x="63"/>
        <item x="47"/>
        <item x="117"/>
        <item x="88"/>
        <item x="144"/>
        <item x="98"/>
        <item x="16"/>
        <item x="13"/>
        <item x="9"/>
        <item x="49"/>
        <item x="164"/>
        <item x="148"/>
        <item x="151"/>
        <item x="152"/>
        <item x="166"/>
        <item x="51"/>
        <item x="132"/>
        <item x="161"/>
        <item x="149"/>
        <item x="155"/>
        <item x="162"/>
        <item x="113"/>
        <item x="23"/>
        <item x="140"/>
        <item x="74"/>
        <item x="57"/>
        <item x="153"/>
        <item x="160"/>
        <item x="75"/>
        <item x="30"/>
        <item x="89"/>
        <item x="39"/>
        <item x="96"/>
        <item x="142"/>
        <item x="76"/>
        <item x="141"/>
        <item x="46"/>
        <item x="69"/>
        <item x="68"/>
        <item x="7"/>
        <item x="143"/>
        <item x="108"/>
        <item x="34"/>
        <item x="139"/>
        <item x="92"/>
        <item x="29"/>
        <item x="64"/>
        <item x="120"/>
        <item x="167"/>
        <item x="159"/>
        <item x="70"/>
        <item x="95"/>
        <item x="99"/>
        <item x="22"/>
        <item x="156"/>
        <item x="67"/>
        <item x="87"/>
        <item x="129"/>
        <item x="85"/>
        <item x="125"/>
        <item x="122"/>
        <item x="84"/>
        <item x="71"/>
        <item x="43"/>
        <item x="124"/>
        <item x="21"/>
        <item x="62"/>
        <item x="20"/>
        <item x="133"/>
        <item x="165"/>
        <item x="48"/>
        <item x="72"/>
        <item x="52"/>
        <item x="169"/>
        <item x="128"/>
        <item x="59"/>
        <item x="5"/>
        <item x="40"/>
        <item x="42"/>
        <item x="119"/>
        <item x="53"/>
        <item x="81"/>
        <item x="66"/>
        <item x="110"/>
        <item x="58"/>
        <item x="154"/>
        <item x="41"/>
        <item x="106"/>
        <item x="104"/>
        <item x="109"/>
        <item x="138"/>
        <item x="12"/>
        <item x="44"/>
        <item x="121"/>
        <item x="112"/>
        <item x="171"/>
        <item x="115"/>
        <item x="135"/>
        <item x="33"/>
        <item x="137"/>
        <item x="25"/>
        <item x="0"/>
        <item x="15"/>
        <item x="116"/>
        <item x="55"/>
        <item x="32"/>
        <item x="36"/>
        <item x="31"/>
        <item x="131"/>
        <item x="107"/>
        <item x="77"/>
        <item x="103"/>
        <item x="35"/>
        <item x="4"/>
        <item x="101"/>
        <item x="173"/>
        <item x="97"/>
        <item x="126"/>
        <item x="163"/>
        <item x="172"/>
        <item x="65"/>
        <item x="145"/>
        <item x="61"/>
        <item x="111"/>
        <item x="45"/>
        <item x="73"/>
        <item x="90"/>
        <item x="174"/>
        <item x="26"/>
        <item x="79"/>
        <item x="54"/>
        <item x="100"/>
        <item x="27"/>
        <item x="3"/>
        <item x="8"/>
        <item x="24"/>
        <item x="11"/>
        <item x="130"/>
        <item x="147"/>
        <item x="136"/>
        <item x="2"/>
        <item x="86"/>
        <item x="102"/>
        <item t="default"/>
      </items>
    </pivotField>
    <pivotField dataField="1" showAll="0"/>
    <pivotField numFmtId="2" showAll="0"/>
    <pivotField numFmtId="2" showAll="0"/>
    <pivotField numFmtId="9" showAll="0"/>
    <pivotField showAll="0"/>
    <pivotField showAll="0"/>
    <pivotField showAll="0">
      <items count="12">
        <item x="4"/>
        <item x="6"/>
        <item x="0"/>
        <item x="10"/>
        <item x="8"/>
        <item x="5"/>
        <item x="7"/>
        <item x="2"/>
        <item x="1"/>
        <item x="3"/>
        <item x="9"/>
        <item t="default"/>
      </items>
    </pivotField>
    <pivotField showAll="0"/>
    <pivotField showAll="0"/>
    <pivotField axis="axisRow" showAll="0">
      <items count="3">
        <item m="1" x="1"/>
        <item x="0"/>
        <item t="default"/>
      </items>
    </pivotField>
  </pivotFields>
  <rowFields count="1">
    <field x="12"/>
  </rowFields>
  <rowItems count="2">
    <i>
      <x v="1"/>
    </i>
    <i t="grand">
      <x/>
    </i>
  </rowItems>
  <colItems count="1">
    <i/>
  </colItems>
  <dataFields count="1">
    <dataField name="Count of NAME" fld="3"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E695A7-97BD-41FA-8ED1-22469BE8642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5" firstHeaderRow="1" firstDataRow="1" firstDataCol="1"/>
  <pivotFields count="13">
    <pivotField showAll="0"/>
    <pivotField showAll="0"/>
    <pivotField showAll="0">
      <items count="176">
        <item x="94"/>
        <item x="38"/>
        <item x="10"/>
        <item x="28"/>
        <item x="80"/>
        <item x="17"/>
        <item x="6"/>
        <item x="127"/>
        <item x="14"/>
        <item x="170"/>
        <item x="37"/>
        <item x="158"/>
        <item x="114"/>
        <item x="18"/>
        <item x="157"/>
        <item x="168"/>
        <item x="78"/>
        <item x="146"/>
        <item x="82"/>
        <item x="118"/>
        <item x="50"/>
        <item x="83"/>
        <item x="56"/>
        <item x="123"/>
        <item x="150"/>
        <item x="91"/>
        <item x="19"/>
        <item x="134"/>
        <item x="93"/>
        <item x="105"/>
        <item x="60"/>
        <item x="1"/>
        <item x="63"/>
        <item x="47"/>
        <item x="117"/>
        <item x="88"/>
        <item x="144"/>
        <item x="98"/>
        <item x="16"/>
        <item x="13"/>
        <item x="9"/>
        <item x="49"/>
        <item x="164"/>
        <item x="148"/>
        <item x="151"/>
        <item x="152"/>
        <item x="166"/>
        <item x="51"/>
        <item x="132"/>
        <item x="161"/>
        <item x="149"/>
        <item x="155"/>
        <item x="162"/>
        <item x="113"/>
        <item x="23"/>
        <item x="140"/>
        <item x="74"/>
        <item x="57"/>
        <item x="153"/>
        <item x="160"/>
        <item x="75"/>
        <item x="30"/>
        <item x="89"/>
        <item x="39"/>
        <item x="96"/>
        <item x="142"/>
        <item x="76"/>
        <item x="141"/>
        <item x="46"/>
        <item x="69"/>
        <item x="68"/>
        <item x="7"/>
        <item x="143"/>
        <item x="108"/>
        <item x="34"/>
        <item x="139"/>
        <item x="92"/>
        <item x="29"/>
        <item x="64"/>
        <item x="120"/>
        <item x="167"/>
        <item x="159"/>
        <item x="70"/>
        <item x="95"/>
        <item x="99"/>
        <item x="22"/>
        <item x="156"/>
        <item x="67"/>
        <item x="87"/>
        <item x="129"/>
        <item x="85"/>
        <item x="125"/>
        <item x="122"/>
        <item x="84"/>
        <item x="71"/>
        <item x="43"/>
        <item x="124"/>
        <item x="21"/>
        <item x="62"/>
        <item x="20"/>
        <item x="133"/>
        <item x="165"/>
        <item x="48"/>
        <item x="72"/>
        <item x="52"/>
        <item x="169"/>
        <item x="128"/>
        <item x="59"/>
        <item x="5"/>
        <item x="40"/>
        <item x="42"/>
        <item x="119"/>
        <item x="53"/>
        <item x="81"/>
        <item x="66"/>
        <item x="110"/>
        <item x="58"/>
        <item x="154"/>
        <item x="41"/>
        <item x="106"/>
        <item x="104"/>
        <item x="109"/>
        <item x="138"/>
        <item x="12"/>
        <item x="44"/>
        <item x="121"/>
        <item x="112"/>
        <item x="171"/>
        <item x="115"/>
        <item x="135"/>
        <item x="33"/>
        <item x="137"/>
        <item x="25"/>
        <item x="0"/>
        <item x="15"/>
        <item x="116"/>
        <item x="55"/>
        <item x="32"/>
        <item x="36"/>
        <item x="31"/>
        <item x="131"/>
        <item x="107"/>
        <item x="77"/>
        <item x="103"/>
        <item x="35"/>
        <item x="4"/>
        <item x="101"/>
        <item x="173"/>
        <item x="97"/>
        <item x="126"/>
        <item x="163"/>
        <item x="172"/>
        <item x="65"/>
        <item x="145"/>
        <item x="61"/>
        <item x="111"/>
        <item x="45"/>
        <item x="73"/>
        <item x="90"/>
        <item x="174"/>
        <item x="26"/>
        <item x="79"/>
        <item x="54"/>
        <item x="100"/>
        <item x="27"/>
        <item x="3"/>
        <item x="8"/>
        <item x="24"/>
        <item x="11"/>
        <item x="130"/>
        <item x="147"/>
        <item x="136"/>
        <item x="2"/>
        <item x="86"/>
        <item x="102"/>
        <item t="default"/>
      </items>
    </pivotField>
    <pivotField dataField="1" showAll="0"/>
    <pivotField numFmtId="2" showAll="0"/>
    <pivotField numFmtId="2" showAll="0"/>
    <pivotField numFmtId="9" showAll="0"/>
    <pivotField showAll="0"/>
    <pivotField showAll="0"/>
    <pivotField axis="axisRow" showAll="0" sortType="descending">
      <items count="12">
        <item x="4"/>
        <item x="6"/>
        <item x="0"/>
        <item x="10"/>
        <item x="8"/>
        <item x="5"/>
        <item x="7"/>
        <item x="2"/>
        <item x="1"/>
        <item x="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9"/>
  </rowFields>
  <rowItems count="12">
    <i>
      <x v="6"/>
    </i>
    <i>
      <x v="9"/>
    </i>
    <i>
      <x v="8"/>
    </i>
    <i>
      <x v="7"/>
    </i>
    <i>
      <x v="4"/>
    </i>
    <i>
      <x v="5"/>
    </i>
    <i>
      <x v="1"/>
    </i>
    <i>
      <x/>
    </i>
    <i>
      <x v="10"/>
    </i>
    <i>
      <x v="2"/>
    </i>
    <i>
      <x v="3"/>
    </i>
    <i t="grand">
      <x/>
    </i>
  </rowItems>
  <colItems count="1">
    <i/>
  </colItems>
  <dataFields count="1">
    <dataField name="Count of NAME" fld="3" subtotal="count" baseField="0" baseItem="0"/>
  </dataFields>
  <chartFormats count="24">
    <chartFormat chart="0" format="3" series="1">
      <pivotArea type="data" outline="0" fieldPosition="0">
        <references count="1">
          <reference field="4294967294" count="1" selected="0">
            <x v="0"/>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9" count="1" selected="0">
            <x v="6"/>
          </reference>
        </references>
      </pivotArea>
    </chartFormat>
    <chartFormat chart="6" format="18">
      <pivotArea type="data" outline="0" fieldPosition="0">
        <references count="2">
          <reference field="4294967294" count="1" selected="0">
            <x v="0"/>
          </reference>
          <reference field="9" count="1" selected="0">
            <x v="9"/>
          </reference>
        </references>
      </pivotArea>
    </chartFormat>
    <chartFormat chart="6" format="19">
      <pivotArea type="data" outline="0" fieldPosition="0">
        <references count="2">
          <reference field="4294967294" count="1" selected="0">
            <x v="0"/>
          </reference>
          <reference field="9" count="1" selected="0">
            <x v="8"/>
          </reference>
        </references>
      </pivotArea>
    </chartFormat>
    <chartFormat chart="6" format="20">
      <pivotArea type="data" outline="0" fieldPosition="0">
        <references count="2">
          <reference field="4294967294" count="1" selected="0">
            <x v="0"/>
          </reference>
          <reference field="9" count="1" selected="0">
            <x v="7"/>
          </reference>
        </references>
      </pivotArea>
    </chartFormat>
    <chartFormat chart="6" format="21">
      <pivotArea type="data" outline="0" fieldPosition="0">
        <references count="2">
          <reference field="4294967294" count="1" selected="0">
            <x v="0"/>
          </reference>
          <reference field="9" count="1" selected="0">
            <x v="4"/>
          </reference>
        </references>
      </pivotArea>
    </chartFormat>
    <chartFormat chart="6" format="22">
      <pivotArea type="data" outline="0" fieldPosition="0">
        <references count="2">
          <reference field="4294967294" count="1" selected="0">
            <x v="0"/>
          </reference>
          <reference field="9" count="1" selected="0">
            <x v="5"/>
          </reference>
        </references>
      </pivotArea>
    </chartFormat>
    <chartFormat chart="6" format="23">
      <pivotArea type="data" outline="0" fieldPosition="0">
        <references count="2">
          <reference field="4294967294" count="1" selected="0">
            <x v="0"/>
          </reference>
          <reference field="9" count="1" selected="0">
            <x v="1"/>
          </reference>
        </references>
      </pivotArea>
    </chartFormat>
    <chartFormat chart="6" format="24">
      <pivotArea type="data" outline="0" fieldPosition="0">
        <references count="2">
          <reference field="4294967294" count="1" selected="0">
            <x v="0"/>
          </reference>
          <reference field="9" count="1" selected="0">
            <x v="0"/>
          </reference>
        </references>
      </pivotArea>
    </chartFormat>
    <chartFormat chart="6" format="25">
      <pivotArea type="data" outline="0" fieldPosition="0">
        <references count="2">
          <reference field="4294967294" count="1" selected="0">
            <x v="0"/>
          </reference>
          <reference field="9" count="1" selected="0">
            <x v="10"/>
          </reference>
        </references>
      </pivotArea>
    </chartFormat>
    <chartFormat chart="6" format="26">
      <pivotArea type="data" outline="0" fieldPosition="0">
        <references count="2">
          <reference field="4294967294" count="1" selected="0">
            <x v="0"/>
          </reference>
          <reference field="9" count="1" selected="0">
            <x v="2"/>
          </reference>
        </references>
      </pivotArea>
    </chartFormat>
    <chartFormat chart="6" format="27">
      <pivotArea type="data" outline="0" fieldPosition="0">
        <references count="2">
          <reference field="4294967294" count="1" selected="0">
            <x v="0"/>
          </reference>
          <reference field="9" count="1" selected="0">
            <x v="3"/>
          </reference>
        </references>
      </pivotArea>
    </chartFormat>
    <chartFormat chart="0" format="4">
      <pivotArea type="data" outline="0" fieldPosition="0">
        <references count="2">
          <reference field="4294967294" count="1" selected="0">
            <x v="0"/>
          </reference>
          <reference field="9" count="1" selected="0">
            <x v="6"/>
          </reference>
        </references>
      </pivotArea>
    </chartFormat>
    <chartFormat chart="0" format="5">
      <pivotArea type="data" outline="0" fieldPosition="0">
        <references count="2">
          <reference field="4294967294" count="1" selected="0">
            <x v="0"/>
          </reference>
          <reference field="9" count="1" selected="0">
            <x v="9"/>
          </reference>
        </references>
      </pivotArea>
    </chartFormat>
    <chartFormat chart="0" format="6">
      <pivotArea type="data" outline="0" fieldPosition="0">
        <references count="2">
          <reference field="4294967294" count="1" selected="0">
            <x v="0"/>
          </reference>
          <reference field="9" count="1" selected="0">
            <x v="8"/>
          </reference>
        </references>
      </pivotArea>
    </chartFormat>
    <chartFormat chart="0" format="7">
      <pivotArea type="data" outline="0" fieldPosition="0">
        <references count="2">
          <reference field="4294967294" count="1" selected="0">
            <x v="0"/>
          </reference>
          <reference field="9" count="1" selected="0">
            <x v="7"/>
          </reference>
        </references>
      </pivotArea>
    </chartFormat>
    <chartFormat chart="0" format="8">
      <pivotArea type="data" outline="0" fieldPosition="0">
        <references count="2">
          <reference field="4294967294" count="1" selected="0">
            <x v="0"/>
          </reference>
          <reference field="9" count="1" selected="0">
            <x v="4"/>
          </reference>
        </references>
      </pivotArea>
    </chartFormat>
    <chartFormat chart="0" format="15">
      <pivotArea type="data" outline="0" fieldPosition="0">
        <references count="2">
          <reference field="4294967294" count="1" selected="0">
            <x v="0"/>
          </reference>
          <reference field="9" count="1" selected="0">
            <x v="5"/>
          </reference>
        </references>
      </pivotArea>
    </chartFormat>
    <chartFormat chart="0" format="16">
      <pivotArea type="data" outline="0" fieldPosition="0">
        <references count="2">
          <reference field="4294967294" count="1" selected="0">
            <x v="0"/>
          </reference>
          <reference field="9" count="1" selected="0">
            <x v="1"/>
          </reference>
        </references>
      </pivotArea>
    </chartFormat>
    <chartFormat chart="0" format="17">
      <pivotArea type="data" outline="0" fieldPosition="0">
        <references count="2">
          <reference field="4294967294" count="1" selected="0">
            <x v="0"/>
          </reference>
          <reference field="9" count="1" selected="0">
            <x v="0"/>
          </reference>
        </references>
      </pivotArea>
    </chartFormat>
    <chartFormat chart="0" format="18">
      <pivotArea type="data" outline="0" fieldPosition="0">
        <references count="2">
          <reference field="4294967294" count="1" selected="0">
            <x v="0"/>
          </reference>
          <reference field="9" count="1" selected="0">
            <x v="10"/>
          </reference>
        </references>
      </pivotArea>
    </chartFormat>
    <chartFormat chart="0" format="19">
      <pivotArea type="data" outline="0" fieldPosition="0">
        <references count="2">
          <reference field="4294967294" count="1" selected="0">
            <x v="0"/>
          </reference>
          <reference field="9" count="1" selected="0">
            <x v="2"/>
          </reference>
        </references>
      </pivotArea>
    </chartFormat>
    <chartFormat chart="0" format="2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C1CAA2-3DF1-45AD-B47F-E332CB947B8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9" firstHeaderRow="0" firstDataRow="1" firstDataCol="1"/>
  <pivotFields count="13">
    <pivotField showAll="0"/>
    <pivotField showAll="0"/>
    <pivotField axis="axisRow" showAll="0" measureFilter="1">
      <items count="176">
        <item x="94"/>
        <item x="38"/>
        <item x="10"/>
        <item x="28"/>
        <item x="80"/>
        <item x="17"/>
        <item x="6"/>
        <item x="127"/>
        <item x="14"/>
        <item x="170"/>
        <item x="37"/>
        <item x="158"/>
        <item x="114"/>
        <item x="18"/>
        <item x="157"/>
        <item x="168"/>
        <item x="78"/>
        <item x="146"/>
        <item x="82"/>
        <item x="118"/>
        <item x="50"/>
        <item x="83"/>
        <item x="56"/>
        <item x="123"/>
        <item x="150"/>
        <item x="91"/>
        <item x="19"/>
        <item x="134"/>
        <item x="93"/>
        <item x="105"/>
        <item x="60"/>
        <item x="1"/>
        <item x="63"/>
        <item x="47"/>
        <item x="117"/>
        <item x="88"/>
        <item x="144"/>
        <item x="98"/>
        <item x="16"/>
        <item x="13"/>
        <item x="9"/>
        <item x="49"/>
        <item x="164"/>
        <item x="148"/>
        <item x="151"/>
        <item x="152"/>
        <item x="166"/>
        <item x="51"/>
        <item x="132"/>
        <item x="161"/>
        <item x="149"/>
        <item x="155"/>
        <item x="162"/>
        <item x="113"/>
        <item x="23"/>
        <item x="140"/>
        <item x="74"/>
        <item x="57"/>
        <item x="153"/>
        <item x="160"/>
        <item x="75"/>
        <item x="30"/>
        <item x="89"/>
        <item x="39"/>
        <item x="96"/>
        <item x="142"/>
        <item x="76"/>
        <item x="141"/>
        <item x="46"/>
        <item x="69"/>
        <item x="68"/>
        <item x="7"/>
        <item x="143"/>
        <item x="108"/>
        <item x="34"/>
        <item x="139"/>
        <item x="92"/>
        <item x="29"/>
        <item x="64"/>
        <item x="120"/>
        <item x="167"/>
        <item x="159"/>
        <item x="70"/>
        <item x="95"/>
        <item x="99"/>
        <item x="22"/>
        <item x="156"/>
        <item x="67"/>
        <item x="87"/>
        <item x="129"/>
        <item x="85"/>
        <item x="125"/>
        <item x="122"/>
        <item x="84"/>
        <item x="71"/>
        <item x="43"/>
        <item x="124"/>
        <item x="21"/>
        <item x="62"/>
        <item x="20"/>
        <item x="133"/>
        <item x="165"/>
        <item x="48"/>
        <item x="72"/>
        <item x="52"/>
        <item x="169"/>
        <item x="128"/>
        <item x="59"/>
        <item x="5"/>
        <item x="40"/>
        <item x="42"/>
        <item x="119"/>
        <item x="53"/>
        <item x="81"/>
        <item x="66"/>
        <item x="110"/>
        <item x="58"/>
        <item x="154"/>
        <item x="41"/>
        <item x="106"/>
        <item x="104"/>
        <item x="109"/>
        <item x="138"/>
        <item x="12"/>
        <item x="44"/>
        <item x="121"/>
        <item x="112"/>
        <item x="171"/>
        <item x="115"/>
        <item x="135"/>
        <item x="33"/>
        <item x="137"/>
        <item x="25"/>
        <item x="0"/>
        <item x="15"/>
        <item x="116"/>
        <item x="55"/>
        <item x="32"/>
        <item x="36"/>
        <item x="31"/>
        <item x="131"/>
        <item x="107"/>
        <item x="77"/>
        <item x="103"/>
        <item x="35"/>
        <item x="4"/>
        <item x="101"/>
        <item x="173"/>
        <item x="97"/>
        <item x="126"/>
        <item x="163"/>
        <item x="172"/>
        <item x="65"/>
        <item x="145"/>
        <item x="61"/>
        <item x="111"/>
        <item x="45"/>
        <item x="73"/>
        <item x="90"/>
        <item x="174"/>
        <item x="26"/>
        <item x="79"/>
        <item x="54"/>
        <item x="100"/>
        <item x="27"/>
        <item x="3"/>
        <item x="8"/>
        <item x="24"/>
        <item x="11"/>
        <item x="130"/>
        <item x="147"/>
        <item x="136"/>
        <item x="2"/>
        <item x="86"/>
        <item x="102"/>
        <item t="default"/>
      </items>
    </pivotField>
    <pivotField showAll="0"/>
    <pivotField dataField="1" numFmtId="2" showAll="0"/>
    <pivotField dataField="1" numFmtId="2" showAll="0"/>
    <pivotField numFmtId="9" showAll="0"/>
    <pivotField showAll="0"/>
    <pivotField showAll="0"/>
    <pivotField showAll="0">
      <items count="12">
        <item x="4"/>
        <item x="6"/>
        <item x="0"/>
        <item x="10"/>
        <item x="8"/>
        <item x="5"/>
        <item x="7"/>
        <item x="2"/>
        <item x="1"/>
        <item x="3"/>
        <item x="9"/>
        <item t="default"/>
      </items>
    </pivotField>
    <pivotField showAll="0"/>
    <pivotField showAll="0"/>
    <pivotField showAll="0"/>
  </pivotFields>
  <rowFields count="1">
    <field x="2"/>
  </rowFields>
  <rowItems count="6">
    <i>
      <x v="2"/>
    </i>
    <i>
      <x v="39"/>
    </i>
    <i>
      <x v="165"/>
    </i>
    <i>
      <x v="166"/>
    </i>
    <i>
      <x v="172"/>
    </i>
    <i t="grand">
      <x/>
    </i>
  </rowItems>
  <colFields count="1">
    <field x="-2"/>
  </colFields>
  <colItems count="2">
    <i>
      <x/>
    </i>
    <i i="1">
      <x v="1"/>
    </i>
  </colItems>
  <dataFields count="2">
    <dataField name="Sum of ORIGINAL PRICE" fld="4" baseField="0" baseItem="0" numFmtId="2"/>
    <dataField name="Sum of SPECIAL PRICE" fld="5" baseField="0" baseItem="0" numFmtId="2"/>
  </dataFields>
  <formats count="1">
    <format dxfId="2">
      <pivotArea dataOnly="0" labelOnly="1"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810882-D563-4ECB-A1FC-E7354849C58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13">
    <pivotField showAll="0"/>
    <pivotField showAll="0"/>
    <pivotField axis="axisRow" showAll="0" measureFilter="1">
      <items count="176">
        <item x="94"/>
        <item x="38"/>
        <item x="10"/>
        <item x="28"/>
        <item x="80"/>
        <item x="17"/>
        <item x="6"/>
        <item x="127"/>
        <item x="14"/>
        <item x="170"/>
        <item x="37"/>
        <item x="158"/>
        <item x="114"/>
        <item x="18"/>
        <item x="157"/>
        <item x="168"/>
        <item x="78"/>
        <item x="146"/>
        <item x="82"/>
        <item x="118"/>
        <item x="50"/>
        <item x="83"/>
        <item x="56"/>
        <item x="123"/>
        <item x="150"/>
        <item x="91"/>
        <item x="19"/>
        <item x="134"/>
        <item x="93"/>
        <item x="105"/>
        <item x="60"/>
        <item x="1"/>
        <item x="63"/>
        <item x="47"/>
        <item x="117"/>
        <item x="88"/>
        <item x="144"/>
        <item x="98"/>
        <item x="16"/>
        <item x="13"/>
        <item x="9"/>
        <item x="49"/>
        <item x="164"/>
        <item x="148"/>
        <item x="151"/>
        <item x="152"/>
        <item x="166"/>
        <item x="51"/>
        <item x="132"/>
        <item x="161"/>
        <item x="149"/>
        <item x="155"/>
        <item x="162"/>
        <item x="113"/>
        <item x="23"/>
        <item x="140"/>
        <item x="74"/>
        <item x="57"/>
        <item x="153"/>
        <item x="160"/>
        <item x="75"/>
        <item x="30"/>
        <item x="89"/>
        <item x="39"/>
        <item x="96"/>
        <item x="142"/>
        <item x="76"/>
        <item x="141"/>
        <item x="46"/>
        <item x="69"/>
        <item x="68"/>
        <item x="7"/>
        <item x="143"/>
        <item x="108"/>
        <item x="34"/>
        <item x="139"/>
        <item x="92"/>
        <item x="29"/>
        <item x="64"/>
        <item x="120"/>
        <item x="167"/>
        <item x="159"/>
        <item x="70"/>
        <item x="95"/>
        <item x="99"/>
        <item x="22"/>
        <item x="156"/>
        <item x="67"/>
        <item x="87"/>
        <item x="129"/>
        <item x="85"/>
        <item x="125"/>
        <item x="122"/>
        <item x="84"/>
        <item x="71"/>
        <item x="43"/>
        <item x="124"/>
        <item x="21"/>
        <item x="62"/>
        <item x="20"/>
        <item x="133"/>
        <item x="165"/>
        <item x="48"/>
        <item x="72"/>
        <item x="52"/>
        <item x="169"/>
        <item x="128"/>
        <item x="59"/>
        <item x="5"/>
        <item x="40"/>
        <item x="42"/>
        <item x="119"/>
        <item x="53"/>
        <item x="81"/>
        <item x="66"/>
        <item x="110"/>
        <item x="58"/>
        <item x="154"/>
        <item x="41"/>
        <item x="106"/>
        <item x="104"/>
        <item x="109"/>
        <item x="138"/>
        <item x="12"/>
        <item x="44"/>
        <item x="121"/>
        <item x="112"/>
        <item x="171"/>
        <item x="115"/>
        <item x="135"/>
        <item x="33"/>
        <item x="137"/>
        <item x="25"/>
        <item x="0"/>
        <item x="15"/>
        <item x="116"/>
        <item x="55"/>
        <item x="32"/>
        <item x="36"/>
        <item x="31"/>
        <item x="131"/>
        <item x="107"/>
        <item x="77"/>
        <item x="103"/>
        <item x="35"/>
        <item x="4"/>
        <item x="101"/>
        <item x="173"/>
        <item x="97"/>
        <item x="126"/>
        <item x="163"/>
        <item x="172"/>
        <item x="65"/>
        <item x="145"/>
        <item x="61"/>
        <item x="111"/>
        <item x="45"/>
        <item x="73"/>
        <item x="90"/>
        <item x="174"/>
        <item x="26"/>
        <item x="79"/>
        <item x="54"/>
        <item x="100"/>
        <item x="27"/>
        <item x="3"/>
        <item x="8"/>
        <item x="24"/>
        <item x="11"/>
        <item x="130"/>
        <item x="147"/>
        <item x="136"/>
        <item x="2"/>
        <item x="86"/>
        <item x="102"/>
        <item t="default"/>
      </items>
    </pivotField>
    <pivotField showAll="0"/>
    <pivotField numFmtId="2" showAll="0"/>
    <pivotField dataField="1" numFmtId="2" showAll="0"/>
    <pivotField numFmtId="9" showAll="0"/>
    <pivotField showAll="0"/>
    <pivotField showAll="0"/>
    <pivotField showAll="0">
      <items count="12">
        <item x="4"/>
        <item x="6"/>
        <item x="0"/>
        <item x="10"/>
        <item x="8"/>
        <item x="5"/>
        <item x="7"/>
        <item x="2"/>
        <item x="1"/>
        <item x="3"/>
        <item x="9"/>
        <item t="default"/>
      </items>
    </pivotField>
    <pivotField showAll="0"/>
    <pivotField showAll="0"/>
    <pivotField showAll="0"/>
  </pivotFields>
  <rowFields count="1">
    <field x="2"/>
  </rowFields>
  <rowItems count="11">
    <i>
      <x v="2"/>
    </i>
    <i>
      <x v="39"/>
    </i>
    <i>
      <x v="43"/>
    </i>
    <i>
      <x v="73"/>
    </i>
    <i>
      <x v="125"/>
    </i>
    <i>
      <x v="165"/>
    </i>
    <i>
      <x v="166"/>
    </i>
    <i>
      <x v="167"/>
    </i>
    <i>
      <x v="168"/>
    </i>
    <i>
      <x v="172"/>
    </i>
    <i t="grand">
      <x/>
    </i>
  </rowItems>
  <colItems count="1">
    <i/>
  </colItems>
  <dataFields count="1">
    <dataField name="Sum of SPECIAL PRICE" fld="5" baseField="0" baseItem="0" numFmtId="2"/>
  </dataFields>
  <formats count="2">
    <format dxfId="1">
      <pivotArea field="2" type="button" dataOnly="0" labelOnly="1" outline="0" axis="axisRow" fieldPosition="0"/>
    </format>
    <format dxfId="0">
      <pivotArea dataOnly="0" labelOnly="1"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_Name" xr10:uid="{CB3CD7CC-3E85-435D-870F-83436E06C055}" sourceName="Plant Name">
  <pivotTables>
    <pivotTable tabId="17" name="PivotTable4"/>
    <pivotTable tabId="18" name="PivotTable5"/>
    <pivotTable tabId="16" name="PivotTable3"/>
    <pivotTable tabId="14" name="PivotTable1"/>
    <pivotTable tabId="19" name="PivotTable6"/>
    <pivotTable tabId="9" name="PivotTable11"/>
    <pivotTable tabId="11" name="PivotTable12"/>
  </pivotTables>
  <data>
    <tabular pivotCacheId="148438617">
      <items count="175">
        <i x="94" s="1"/>
        <i x="38" s="1"/>
        <i x="10" s="1"/>
        <i x="28" s="1"/>
        <i x="80" s="1"/>
        <i x="17" s="1"/>
        <i x="6" s="1"/>
        <i x="127" s="1"/>
        <i x="14" s="1"/>
        <i x="170" s="1"/>
        <i x="37" s="1"/>
        <i x="158" s="1"/>
        <i x="114" s="1"/>
        <i x="18" s="1"/>
        <i x="157" s="1"/>
        <i x="168" s="1"/>
        <i x="78" s="1"/>
        <i x="146" s="1"/>
        <i x="82" s="1"/>
        <i x="118" s="1"/>
        <i x="50" s="1"/>
        <i x="83" s="1"/>
        <i x="56" s="1"/>
        <i x="123" s="1"/>
        <i x="150" s="1"/>
        <i x="91" s="1"/>
        <i x="19" s="1"/>
        <i x="134" s="1"/>
        <i x="93" s="1"/>
        <i x="105" s="1"/>
        <i x="60" s="1"/>
        <i x="1" s="1"/>
        <i x="63" s="1"/>
        <i x="47" s="1"/>
        <i x="117" s="1"/>
        <i x="88" s="1"/>
        <i x="144" s="1"/>
        <i x="98" s="1"/>
        <i x="16" s="1"/>
        <i x="13" s="1"/>
        <i x="9" s="1"/>
        <i x="49" s="1"/>
        <i x="164" s="1"/>
        <i x="148" s="1"/>
        <i x="151" s="1"/>
        <i x="152" s="1"/>
        <i x="166" s="1"/>
        <i x="51" s="1"/>
        <i x="132" s="1"/>
        <i x="161" s="1"/>
        <i x="149" s="1"/>
        <i x="155" s="1"/>
        <i x="162" s="1"/>
        <i x="113" s="1"/>
        <i x="23" s="1"/>
        <i x="140" s="1"/>
        <i x="74" s="1"/>
        <i x="57" s="1"/>
        <i x="153" s="1"/>
        <i x="160" s="1"/>
        <i x="75" s="1"/>
        <i x="30" s="1"/>
        <i x="89" s="1"/>
        <i x="39" s="1"/>
        <i x="96" s="1"/>
        <i x="142" s="1"/>
        <i x="76" s="1"/>
        <i x="141" s="1"/>
        <i x="46" s="1"/>
        <i x="69" s="1"/>
        <i x="68" s="1"/>
        <i x="7" s="1"/>
        <i x="143" s="1"/>
        <i x="108" s="1"/>
        <i x="34" s="1"/>
        <i x="139" s="1"/>
        <i x="92" s="1"/>
        <i x="29" s="1"/>
        <i x="64" s="1"/>
        <i x="120" s="1"/>
        <i x="167" s="1"/>
        <i x="159" s="1"/>
        <i x="70" s="1"/>
        <i x="95" s="1"/>
        <i x="99" s="1"/>
        <i x="22" s="1"/>
        <i x="156" s="1"/>
        <i x="67" s="1"/>
        <i x="87" s="1"/>
        <i x="129" s="1"/>
        <i x="85" s="1"/>
        <i x="125" s="1"/>
        <i x="122" s="1"/>
        <i x="84" s="1"/>
        <i x="71" s="1"/>
        <i x="43" s="1"/>
        <i x="124" s="1"/>
        <i x="21" s="1"/>
        <i x="62" s="1"/>
        <i x="20" s="1"/>
        <i x="133" s="1"/>
        <i x="165" s="1"/>
        <i x="48" s="1"/>
        <i x="72" s="1"/>
        <i x="52" s="1"/>
        <i x="169" s="1"/>
        <i x="128" s="1"/>
        <i x="59" s="1"/>
        <i x="5" s="1"/>
        <i x="40" s="1"/>
        <i x="42" s="1"/>
        <i x="119" s="1"/>
        <i x="53" s="1"/>
        <i x="81" s="1"/>
        <i x="66" s="1"/>
        <i x="110" s="1"/>
        <i x="58" s="1"/>
        <i x="154" s="1"/>
        <i x="41" s="1"/>
        <i x="106" s="1"/>
        <i x="104" s="1"/>
        <i x="109" s="1"/>
        <i x="138" s="1"/>
        <i x="12" s="1"/>
        <i x="44" s="1"/>
        <i x="121" s="1"/>
        <i x="112" s="1"/>
        <i x="171" s="1"/>
        <i x="115" s="1"/>
        <i x="135" s="1"/>
        <i x="33" s="1"/>
        <i x="137" s="1"/>
        <i x="25" s="1"/>
        <i x="0" s="1"/>
        <i x="15" s="1"/>
        <i x="116" s="1"/>
        <i x="55" s="1"/>
        <i x="32" s="1"/>
        <i x="36" s="1"/>
        <i x="31" s="1"/>
        <i x="131" s="1"/>
        <i x="107" s="1"/>
        <i x="77" s="1"/>
        <i x="103" s="1"/>
        <i x="35" s="1"/>
        <i x="4" s="1"/>
        <i x="101" s="1"/>
        <i x="173" s="1"/>
        <i x="97" s="1"/>
        <i x="126" s="1"/>
        <i x="163" s="1"/>
        <i x="172" s="1"/>
        <i x="65" s="1"/>
        <i x="145" s="1"/>
        <i x="61" s="1"/>
        <i x="111" s="1"/>
        <i x="45" s="1"/>
        <i x="73" s="1"/>
        <i x="90" s="1"/>
        <i x="174" s="1"/>
        <i x="26" s="1"/>
        <i x="79" s="1"/>
        <i x="54" s="1"/>
        <i x="100" s="1"/>
        <i x="27" s="1"/>
        <i x="3" s="1"/>
        <i x="8" s="1"/>
        <i x="24" s="1"/>
        <i x="11" s="1"/>
        <i x="130" s="1"/>
        <i x="147" s="1"/>
        <i x="136" s="1"/>
        <i x="2" s="1"/>
        <i x="86" s="1"/>
        <i x="10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C490085F-8673-4AC6-A27A-F6D9210EAB8C}" sourceName="TYPE">
  <pivotTables>
    <pivotTable tabId="19" name="PivotTable6"/>
    <pivotTable tabId="17" name="PivotTable4"/>
    <pivotTable tabId="18" name="PivotTable5"/>
    <pivotTable tabId="16" name="PivotTable3"/>
    <pivotTable tabId="14" name="PivotTable1"/>
    <pivotTable tabId="9" name="PivotTable11"/>
    <pivotTable tabId="11" name="PivotTable12"/>
  </pivotTables>
  <data>
    <tabular pivotCacheId="148438617">
      <items count="11">
        <i x="4" s="1"/>
        <i x="6" s="1"/>
        <i x="0" s="1"/>
        <i x="10" s="1"/>
        <i x="8" s="1"/>
        <i x="5" s="1"/>
        <i x="7" s="1"/>
        <i x="2" s="1"/>
        <i x="1" s="1"/>
        <i x="3"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t Name" xr10:uid="{A34A45A0-7621-4A2C-BCCC-4FAF97D479E2}" cache="Slicer_Plant_Name" caption="Plant Name" startItem="16"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A2D147EC-966F-42F8-A46A-DC6A3C82C2C0}" cache="Slicer_TYPE" caption="TYPE"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02A83A49-F299-4915-BE52-9E9088FAD4AD}" cache="Slicer_TYPE" caption="TYPE"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48175-8022-4D74-9F63-60F45DFCAF81}">
  <dimension ref="A3:B7"/>
  <sheetViews>
    <sheetView workbookViewId="0">
      <selection activeCell="J23" sqref="J23"/>
    </sheetView>
  </sheetViews>
  <sheetFormatPr defaultRowHeight="15.6" x14ac:dyDescent="0.3"/>
  <cols>
    <col min="1" max="1" width="12.296875" bestFit="1" customWidth="1"/>
    <col min="2" max="2" width="14" bestFit="1" customWidth="1"/>
  </cols>
  <sheetData>
    <row r="3" spans="1:2" x14ac:dyDescent="0.3">
      <c r="A3" s="15" t="s">
        <v>929</v>
      </c>
      <c r="B3" t="s">
        <v>948</v>
      </c>
    </row>
    <row r="4" spans="1:2" x14ac:dyDescent="0.3">
      <c r="A4" s="16" t="s">
        <v>249</v>
      </c>
      <c r="B4">
        <v>2</v>
      </c>
    </row>
    <row r="5" spans="1:2" x14ac:dyDescent="0.3">
      <c r="A5" s="16" t="s">
        <v>13</v>
      </c>
      <c r="B5">
        <v>119</v>
      </c>
    </row>
    <row r="6" spans="1:2" x14ac:dyDescent="0.3">
      <c r="A6" s="16" t="s">
        <v>18</v>
      </c>
      <c r="B6">
        <v>319</v>
      </c>
    </row>
    <row r="7" spans="1:2" x14ac:dyDescent="0.3">
      <c r="A7" s="16" t="s">
        <v>930</v>
      </c>
      <c r="B7">
        <v>440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EB686-96F0-41F9-92F2-015BCD193C2D}">
  <dimension ref="A3:B7"/>
  <sheetViews>
    <sheetView workbookViewId="0">
      <selection activeCell="E21" sqref="E21"/>
    </sheetView>
  </sheetViews>
  <sheetFormatPr defaultRowHeight="15.6" x14ac:dyDescent="0.3"/>
  <cols>
    <col min="1" max="1" width="12.296875" bestFit="1" customWidth="1"/>
    <col min="2" max="2" width="14" bestFit="1" customWidth="1"/>
  </cols>
  <sheetData>
    <row r="3" spans="1:2" x14ac:dyDescent="0.3">
      <c r="A3" s="15" t="s">
        <v>929</v>
      </c>
      <c r="B3" t="s">
        <v>948</v>
      </c>
    </row>
    <row r="4" spans="1:2" x14ac:dyDescent="0.3">
      <c r="A4" s="16" t="s">
        <v>737</v>
      </c>
      <c r="B4">
        <v>123</v>
      </c>
    </row>
    <row r="5" spans="1:2" x14ac:dyDescent="0.3">
      <c r="A5" s="16" t="s">
        <v>733</v>
      </c>
      <c r="B5">
        <v>193</v>
      </c>
    </row>
    <row r="6" spans="1:2" x14ac:dyDescent="0.3">
      <c r="A6" s="16" t="s">
        <v>732</v>
      </c>
      <c r="B6">
        <v>124</v>
      </c>
    </row>
    <row r="7" spans="1:2" x14ac:dyDescent="0.3">
      <c r="A7" s="16" t="s">
        <v>930</v>
      </c>
      <c r="B7">
        <v>440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A4733-8AA8-47D8-9DC8-E906BF5FF777}">
  <dimension ref="A3:B17"/>
  <sheetViews>
    <sheetView workbookViewId="0">
      <selection activeCell="O18" sqref="O18"/>
    </sheetView>
  </sheetViews>
  <sheetFormatPr defaultRowHeight="15.6" x14ac:dyDescent="0.3"/>
  <cols>
    <col min="1" max="1" width="19.296875" bestFit="1" customWidth="1"/>
    <col min="2" max="2" width="14" bestFit="1" customWidth="1"/>
  </cols>
  <sheetData>
    <row r="3" spans="1:2" x14ac:dyDescent="0.3">
      <c r="A3" s="15" t="s">
        <v>929</v>
      </c>
      <c r="B3" t="s">
        <v>948</v>
      </c>
    </row>
    <row r="4" spans="1:2" x14ac:dyDescent="0.3">
      <c r="A4" s="16" t="s">
        <v>23</v>
      </c>
      <c r="B4">
        <v>177</v>
      </c>
    </row>
    <row r="5" spans="1:2" x14ac:dyDescent="0.3">
      <c r="A5" s="16" t="s">
        <v>29</v>
      </c>
      <c r="B5">
        <v>55</v>
      </c>
    </row>
    <row r="6" spans="1:2" x14ac:dyDescent="0.3">
      <c r="A6" s="16" t="s">
        <v>121</v>
      </c>
      <c r="B6">
        <v>35</v>
      </c>
    </row>
    <row r="7" spans="1:2" x14ac:dyDescent="0.3">
      <c r="A7" s="16" t="s">
        <v>44</v>
      </c>
      <c r="B7">
        <v>25</v>
      </c>
    </row>
    <row r="8" spans="1:2" x14ac:dyDescent="0.3">
      <c r="A8" s="16" t="s">
        <v>79</v>
      </c>
      <c r="B8">
        <v>10</v>
      </c>
    </row>
    <row r="9" spans="1:2" x14ac:dyDescent="0.3">
      <c r="A9" s="16" t="s">
        <v>15</v>
      </c>
      <c r="B9">
        <v>10</v>
      </c>
    </row>
    <row r="10" spans="1:2" x14ac:dyDescent="0.3">
      <c r="A10" s="16" t="s">
        <v>72</v>
      </c>
      <c r="B10">
        <v>7</v>
      </c>
    </row>
    <row r="11" spans="1:2" x14ac:dyDescent="0.3">
      <c r="A11" s="16" t="s">
        <v>115</v>
      </c>
      <c r="B11">
        <v>5</v>
      </c>
    </row>
    <row r="12" spans="1:2" x14ac:dyDescent="0.3">
      <c r="A12" s="16" t="s">
        <v>274</v>
      </c>
      <c r="B12">
        <v>5</v>
      </c>
    </row>
    <row r="13" spans="1:2" x14ac:dyDescent="0.3">
      <c r="A13" s="16" t="s">
        <v>169</v>
      </c>
      <c r="B13">
        <v>4</v>
      </c>
    </row>
    <row r="14" spans="1:2" x14ac:dyDescent="0.3">
      <c r="A14" s="16" t="s">
        <v>424</v>
      </c>
      <c r="B14">
        <v>4</v>
      </c>
    </row>
    <row r="15" spans="1:2" x14ac:dyDescent="0.3">
      <c r="A15" s="16" t="s">
        <v>19</v>
      </c>
      <c r="B15">
        <v>4</v>
      </c>
    </row>
    <row r="16" spans="1:2" x14ac:dyDescent="0.3">
      <c r="A16" s="16" t="s">
        <v>261</v>
      </c>
      <c r="B16">
        <v>4</v>
      </c>
    </row>
    <row r="17" spans="1:2" x14ac:dyDescent="0.3">
      <c r="A17" s="16" t="s">
        <v>930</v>
      </c>
      <c r="B17">
        <v>345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7B071-2B63-484D-BCC5-939452AC68A2}">
  <dimension ref="A3:B5"/>
  <sheetViews>
    <sheetView workbookViewId="0">
      <selection activeCell="I19" sqref="I19"/>
    </sheetView>
  </sheetViews>
  <sheetFormatPr defaultRowHeight="15.6" x14ac:dyDescent="0.3"/>
  <cols>
    <col min="1" max="1" width="17.796875" bestFit="1" customWidth="1"/>
    <col min="2" max="2" width="14" bestFit="1" customWidth="1"/>
  </cols>
  <sheetData>
    <row r="3" spans="1:2" x14ac:dyDescent="0.3">
      <c r="A3" s="15" t="s">
        <v>929</v>
      </c>
      <c r="B3" t="s">
        <v>948</v>
      </c>
    </row>
    <row r="4" spans="1:2" x14ac:dyDescent="0.3">
      <c r="A4" s="16" t="s">
        <v>949</v>
      </c>
      <c r="B4">
        <v>440</v>
      </c>
    </row>
    <row r="5" spans="1:2" x14ac:dyDescent="0.3">
      <c r="A5" s="16" t="s">
        <v>930</v>
      </c>
      <c r="B5">
        <v>440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C5372-86B4-4F6F-A82C-67EEE9CDFFD2}">
  <dimension ref="A3:B15"/>
  <sheetViews>
    <sheetView topLeftCell="B1" workbookViewId="0">
      <selection activeCell="C19" sqref="C19"/>
    </sheetView>
  </sheetViews>
  <sheetFormatPr defaultRowHeight="15.6" x14ac:dyDescent="0.3"/>
  <cols>
    <col min="1" max="1" width="20" bestFit="1" customWidth="1"/>
    <col min="2" max="2" width="14" bestFit="1" customWidth="1"/>
    <col min="3" max="3" width="18.69921875" bestFit="1" customWidth="1"/>
  </cols>
  <sheetData>
    <row r="3" spans="1:2" x14ac:dyDescent="0.3">
      <c r="A3" s="15" t="s">
        <v>929</v>
      </c>
      <c r="B3" t="s">
        <v>948</v>
      </c>
    </row>
    <row r="4" spans="1:2" x14ac:dyDescent="0.3">
      <c r="A4" s="16" t="s">
        <v>728</v>
      </c>
      <c r="B4">
        <v>100</v>
      </c>
    </row>
    <row r="5" spans="1:2" x14ac:dyDescent="0.3">
      <c r="A5" s="16" t="s">
        <v>724</v>
      </c>
      <c r="B5">
        <v>95</v>
      </c>
    </row>
    <row r="6" spans="1:2" x14ac:dyDescent="0.3">
      <c r="A6" s="16" t="s">
        <v>722</v>
      </c>
      <c r="B6">
        <v>82</v>
      </c>
    </row>
    <row r="7" spans="1:2" x14ac:dyDescent="0.3">
      <c r="A7" s="16" t="s">
        <v>723</v>
      </c>
      <c r="B7">
        <v>57</v>
      </c>
    </row>
    <row r="8" spans="1:2" x14ac:dyDescent="0.3">
      <c r="A8" s="16" t="s">
        <v>729</v>
      </c>
      <c r="B8">
        <v>28</v>
      </c>
    </row>
    <row r="9" spans="1:2" x14ac:dyDescent="0.3">
      <c r="A9" s="16" t="s">
        <v>726</v>
      </c>
      <c r="B9">
        <v>23</v>
      </c>
    </row>
    <row r="10" spans="1:2" x14ac:dyDescent="0.3">
      <c r="A10" s="16" t="s">
        <v>727</v>
      </c>
      <c r="B10">
        <v>19</v>
      </c>
    </row>
    <row r="11" spans="1:2" x14ac:dyDescent="0.3">
      <c r="A11" s="16" t="s">
        <v>725</v>
      </c>
      <c r="B11">
        <v>14</v>
      </c>
    </row>
    <row r="12" spans="1:2" x14ac:dyDescent="0.3">
      <c r="A12" s="16" t="s">
        <v>730</v>
      </c>
      <c r="B12">
        <v>11</v>
      </c>
    </row>
    <row r="13" spans="1:2" x14ac:dyDescent="0.3">
      <c r="A13" s="16" t="s">
        <v>721</v>
      </c>
      <c r="B13">
        <v>10</v>
      </c>
    </row>
    <row r="14" spans="1:2" x14ac:dyDescent="0.3">
      <c r="A14" s="16" t="s">
        <v>731</v>
      </c>
      <c r="B14">
        <v>1</v>
      </c>
    </row>
    <row r="15" spans="1:2" x14ac:dyDescent="0.3">
      <c r="A15" s="16" t="s">
        <v>930</v>
      </c>
      <c r="B15">
        <v>440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0C963-A076-45D5-B642-02A6371B1108}">
  <dimension ref="A1:Z442"/>
  <sheetViews>
    <sheetView workbookViewId="0">
      <selection activeCell="L1" sqref="L1:L1048576"/>
    </sheetView>
  </sheetViews>
  <sheetFormatPr defaultRowHeight="15.6" x14ac:dyDescent="0.3"/>
  <cols>
    <col min="1" max="1" width="10.8984375" bestFit="1" customWidth="1"/>
    <col min="2" max="2" width="4.69921875" bestFit="1" customWidth="1"/>
    <col min="3" max="3" width="27.69921875" customWidth="1"/>
    <col min="4" max="4" width="30.69921875" customWidth="1"/>
    <col min="5" max="6" width="9.3984375" style="3" bestFit="1" customWidth="1"/>
    <col min="8" max="8" width="7" customWidth="1"/>
    <col min="9" max="9" width="8.796875" customWidth="1"/>
    <col min="10" max="10" width="8.3984375" customWidth="1"/>
    <col min="11" max="11" width="10.296875" customWidth="1"/>
    <col min="12" max="12" width="20.09765625" bestFit="1" customWidth="1"/>
    <col min="13" max="13" width="14" style="12" customWidth="1"/>
    <col min="14" max="14" width="9.5" customWidth="1"/>
    <col min="15" max="15" width="11.8984375" customWidth="1"/>
    <col min="16" max="16" width="8" customWidth="1"/>
    <col min="17" max="17" width="25.09765625" bestFit="1" customWidth="1"/>
    <col min="18" max="18" width="12.296875" customWidth="1"/>
    <col min="21" max="21" width="17.59765625" bestFit="1" customWidth="1"/>
    <col min="22" max="22" width="4.69921875" customWidth="1"/>
    <col min="23" max="23" width="5.09765625" customWidth="1"/>
    <col min="24" max="24" width="3.5" customWidth="1"/>
    <col min="25" max="25" width="5" customWidth="1"/>
    <col min="26" max="26" width="6.3984375" customWidth="1"/>
  </cols>
  <sheetData>
    <row r="1" spans="1:26" s="7" customFormat="1" ht="31.2" x14ac:dyDescent="0.3">
      <c r="A1" s="5" t="s">
        <v>718</v>
      </c>
      <c r="B1" s="6" t="s">
        <v>715</v>
      </c>
      <c r="C1" s="6" t="s">
        <v>714</v>
      </c>
      <c r="D1" s="6" t="s">
        <v>1</v>
      </c>
      <c r="E1" s="13" t="s">
        <v>2</v>
      </c>
      <c r="F1" s="13" t="s">
        <v>3</v>
      </c>
      <c r="G1" s="14" t="s">
        <v>4</v>
      </c>
      <c r="H1" s="14" t="s">
        <v>5</v>
      </c>
      <c r="I1" s="14" t="s">
        <v>6</v>
      </c>
      <c r="J1" s="14" t="s">
        <v>7</v>
      </c>
      <c r="K1" s="6" t="s">
        <v>8</v>
      </c>
      <c r="L1" s="6" t="s">
        <v>9</v>
      </c>
      <c r="M1" s="10" t="s">
        <v>10</v>
      </c>
      <c r="Q1" s="6" t="s">
        <v>7</v>
      </c>
      <c r="R1" s="7" t="s">
        <v>719</v>
      </c>
      <c r="V1" s="6"/>
      <c r="W1" s="6" t="s">
        <v>0</v>
      </c>
      <c r="X1" s="6" t="s">
        <v>716</v>
      </c>
      <c r="Y1" s="6" t="s">
        <v>720</v>
      </c>
      <c r="Z1" s="6" t="s">
        <v>717</v>
      </c>
    </row>
    <row r="2" spans="1:26" x14ac:dyDescent="0.3">
      <c r="A2" s="4">
        <v>1754309573</v>
      </c>
      <c r="B2" s="4">
        <v>1</v>
      </c>
      <c r="C2" s="4" t="s">
        <v>12</v>
      </c>
      <c r="D2" s="4" t="s">
        <v>741</v>
      </c>
      <c r="E2" s="2">
        <v>399</v>
      </c>
      <c r="F2" s="2">
        <v>199</v>
      </c>
      <c r="G2" s="9">
        <v>0.5</v>
      </c>
      <c r="H2" s="4">
        <v>4</v>
      </c>
      <c r="I2" s="4" t="s">
        <v>13</v>
      </c>
      <c r="J2" s="4" t="s">
        <v>721</v>
      </c>
      <c r="K2" s="4" t="s">
        <v>732</v>
      </c>
      <c r="L2" s="4" t="s">
        <v>15</v>
      </c>
      <c r="M2" s="11" t="s">
        <v>949</v>
      </c>
      <c r="O2" t="s">
        <v>734</v>
      </c>
      <c r="P2" s="8">
        <f>AVERAGE(H2:H441)</f>
        <v>3.7874999999999965</v>
      </c>
      <c r="Q2" s="4" t="s">
        <v>14</v>
      </c>
      <c r="R2" t="str">
        <f>RIGHT(Q2,LEN(Q2)-FIND(" ",Q2,1))</f>
        <v>Bonsai</v>
      </c>
      <c r="U2" t="s">
        <v>742</v>
      </c>
      <c r="V2" s="4">
        <v>1</v>
      </c>
      <c r="W2" s="4" t="s">
        <v>11</v>
      </c>
      <c r="X2" s="4" t="str">
        <f>RIGHT(W2,2)</f>
        <v>-1</v>
      </c>
      <c r="Y2" s="4" t="str">
        <f>RIGHT(W2,LEN(W2)-FIND("-",W2,1))</f>
        <v>1</v>
      </c>
      <c r="Z2" s="4" t="str">
        <f>LEFT(W2,FIND("-",W2,1)-1)</f>
        <v>1754309573</v>
      </c>
    </row>
    <row r="3" spans="1:26" x14ac:dyDescent="0.3">
      <c r="A3" s="4">
        <v>1754309576</v>
      </c>
      <c r="B3" s="4">
        <v>2</v>
      </c>
      <c r="C3" s="4" t="s">
        <v>17</v>
      </c>
      <c r="D3" s="4" t="s">
        <v>743</v>
      </c>
      <c r="E3" s="2">
        <v>299</v>
      </c>
      <c r="F3" s="2">
        <v>171</v>
      </c>
      <c r="G3" s="9">
        <v>0.42</v>
      </c>
      <c r="H3" s="4">
        <v>1.3</v>
      </c>
      <c r="I3" s="4" t="s">
        <v>18</v>
      </c>
      <c r="J3" s="4" t="s">
        <v>721</v>
      </c>
      <c r="K3" s="4" t="s">
        <v>737</v>
      </c>
      <c r="L3" s="4" t="s">
        <v>19</v>
      </c>
      <c r="M3" s="11" t="s">
        <v>949</v>
      </c>
      <c r="O3" t="s">
        <v>735</v>
      </c>
      <c r="P3">
        <f>MEDIAN(H2:H441)</f>
        <v>4</v>
      </c>
      <c r="Q3" s="4" t="s">
        <v>14</v>
      </c>
      <c r="R3" t="str">
        <f t="shared" ref="R3:R66" si="0">RIGHT(Q3,LEN(Q3)-FIND(" ",Q3,1))</f>
        <v>Bonsai</v>
      </c>
      <c r="U3" t="s">
        <v>744</v>
      </c>
      <c r="V3" s="4">
        <v>2</v>
      </c>
      <c r="W3" s="4" t="s">
        <v>16</v>
      </c>
      <c r="X3" s="4" t="str">
        <f t="shared" ref="X3:X66" si="1">RIGHT(W3,2)</f>
        <v>-2</v>
      </c>
      <c r="Y3" s="4" t="str">
        <f t="shared" ref="Y3:Y66" si="2">RIGHT(W3,LEN(W3)-FIND("-",W3,1))</f>
        <v>2</v>
      </c>
      <c r="Z3" s="4" t="str">
        <f t="shared" ref="Z3:Z66" si="3">LEFT(W3,FIND("-",W3,1)-1)</f>
        <v>1754309576</v>
      </c>
    </row>
    <row r="4" spans="1:26" x14ac:dyDescent="0.3">
      <c r="A4" s="4">
        <v>1754309578</v>
      </c>
      <c r="B4" s="4">
        <v>3</v>
      </c>
      <c r="C4" s="4" t="s">
        <v>21</v>
      </c>
      <c r="D4" s="4" t="s">
        <v>745</v>
      </c>
      <c r="E4" s="2">
        <v>449</v>
      </c>
      <c r="F4" s="2">
        <v>384</v>
      </c>
      <c r="G4" s="9">
        <v>0.14000000000000001</v>
      </c>
      <c r="H4" s="4">
        <v>4.4000000000000004</v>
      </c>
      <c r="I4" s="4" t="s">
        <v>18</v>
      </c>
      <c r="J4" s="4" t="s">
        <v>722</v>
      </c>
      <c r="K4" s="4" t="s">
        <v>733</v>
      </c>
      <c r="L4" s="4" t="s">
        <v>23</v>
      </c>
      <c r="M4" s="11" t="s">
        <v>949</v>
      </c>
      <c r="O4" t="s">
        <v>736</v>
      </c>
      <c r="P4">
        <f>MODE(H2:H441)</f>
        <v>4</v>
      </c>
      <c r="Q4" s="4" t="s">
        <v>22</v>
      </c>
      <c r="R4" t="str">
        <f t="shared" si="0"/>
        <v>Shrub</v>
      </c>
      <c r="U4" t="s">
        <v>746</v>
      </c>
      <c r="V4" s="4">
        <v>3</v>
      </c>
      <c r="W4" s="4" t="s">
        <v>20</v>
      </c>
      <c r="X4" s="4" t="str">
        <f t="shared" si="1"/>
        <v>-3</v>
      </c>
      <c r="Y4" s="4" t="str">
        <f t="shared" si="2"/>
        <v>3</v>
      </c>
      <c r="Z4" s="4" t="str">
        <f t="shared" si="3"/>
        <v>1754309578</v>
      </c>
    </row>
    <row r="5" spans="1:26" x14ac:dyDescent="0.3">
      <c r="A5" s="4">
        <v>1754309581</v>
      </c>
      <c r="B5" s="4">
        <v>4</v>
      </c>
      <c r="C5" s="4" t="s">
        <v>25</v>
      </c>
      <c r="D5" s="4" t="s">
        <v>747</v>
      </c>
      <c r="E5" s="2">
        <v>449</v>
      </c>
      <c r="F5" s="2">
        <v>349</v>
      </c>
      <c r="G5" s="9">
        <v>0.22</v>
      </c>
      <c r="H5" s="4">
        <v>4.3</v>
      </c>
      <c r="I5" s="4" t="s">
        <v>18</v>
      </c>
      <c r="J5" s="4" t="s">
        <v>722</v>
      </c>
      <c r="K5" s="4" t="s">
        <v>733</v>
      </c>
      <c r="L5" s="4" t="s">
        <v>23</v>
      </c>
      <c r="M5" s="11" t="s">
        <v>949</v>
      </c>
      <c r="Q5" s="4" t="s">
        <v>22</v>
      </c>
      <c r="R5" t="str">
        <f t="shared" si="0"/>
        <v>Shrub</v>
      </c>
      <c r="U5" t="s">
        <v>746</v>
      </c>
      <c r="V5" s="4">
        <v>4</v>
      </c>
      <c r="W5" s="4" t="s">
        <v>24</v>
      </c>
      <c r="X5" s="4" t="str">
        <f t="shared" si="1"/>
        <v>-4</v>
      </c>
      <c r="Y5" s="4" t="str">
        <f t="shared" si="2"/>
        <v>4</v>
      </c>
      <c r="Z5" s="4" t="str">
        <f t="shared" si="3"/>
        <v>1754309581</v>
      </c>
    </row>
    <row r="6" spans="1:26" x14ac:dyDescent="0.3">
      <c r="A6" s="4">
        <v>1754309584</v>
      </c>
      <c r="B6" s="4">
        <v>5</v>
      </c>
      <c r="C6" s="4" t="s">
        <v>27</v>
      </c>
      <c r="D6" s="4" t="s">
        <v>748</v>
      </c>
      <c r="E6" s="2">
        <v>499</v>
      </c>
      <c r="F6" s="2">
        <v>150</v>
      </c>
      <c r="G6" s="9">
        <v>0.69</v>
      </c>
      <c r="H6" s="4">
        <v>4</v>
      </c>
      <c r="I6" s="4" t="s">
        <v>13</v>
      </c>
      <c r="J6" s="4" t="s">
        <v>723</v>
      </c>
      <c r="K6" s="4" t="s">
        <v>732</v>
      </c>
      <c r="L6" s="4" t="s">
        <v>29</v>
      </c>
      <c r="M6" s="11" t="s">
        <v>949</v>
      </c>
      <c r="O6" t="s">
        <v>738</v>
      </c>
      <c r="P6">
        <f>COUNTIF(I$2:I$441,"small")</f>
        <v>319</v>
      </c>
      <c r="Q6" s="4" t="s">
        <v>28</v>
      </c>
      <c r="R6" t="str">
        <f t="shared" si="0"/>
        <v>Herb</v>
      </c>
      <c r="U6" t="s">
        <v>742</v>
      </c>
      <c r="V6" s="4">
        <v>5</v>
      </c>
      <c r="W6" s="4" t="s">
        <v>26</v>
      </c>
      <c r="X6" s="4" t="str">
        <f t="shared" si="1"/>
        <v>-5</v>
      </c>
      <c r="Y6" s="4" t="str">
        <f t="shared" si="2"/>
        <v>5</v>
      </c>
      <c r="Z6" s="4" t="str">
        <f t="shared" si="3"/>
        <v>1754309584</v>
      </c>
    </row>
    <row r="7" spans="1:26" x14ac:dyDescent="0.3">
      <c r="A7" s="4">
        <v>1754309586</v>
      </c>
      <c r="B7" s="4">
        <v>6</v>
      </c>
      <c r="C7" s="4" t="s">
        <v>31</v>
      </c>
      <c r="D7" s="4" t="s">
        <v>749</v>
      </c>
      <c r="E7" s="2">
        <v>499</v>
      </c>
      <c r="F7" s="2">
        <v>169</v>
      </c>
      <c r="G7" s="9">
        <v>0.66</v>
      </c>
      <c r="H7" s="4">
        <v>3</v>
      </c>
      <c r="I7" s="4" t="s">
        <v>18</v>
      </c>
      <c r="J7" s="4" t="s">
        <v>723</v>
      </c>
      <c r="K7" s="4" t="s">
        <v>737</v>
      </c>
      <c r="L7" s="4" t="s">
        <v>32</v>
      </c>
      <c r="M7" s="11" t="s">
        <v>949</v>
      </c>
      <c r="O7" t="s">
        <v>739</v>
      </c>
      <c r="P7">
        <f>COUNTIF(I$2:I$441,"medium")</f>
        <v>119</v>
      </c>
      <c r="Q7" s="4" t="s">
        <v>28</v>
      </c>
      <c r="R7" t="str">
        <f t="shared" si="0"/>
        <v>Herb</v>
      </c>
      <c r="U7" t="s">
        <v>742</v>
      </c>
      <c r="V7" s="4">
        <v>6</v>
      </c>
      <c r="W7" s="4" t="s">
        <v>30</v>
      </c>
      <c r="X7" s="4" t="str">
        <f t="shared" si="1"/>
        <v>-6</v>
      </c>
      <c r="Y7" s="4" t="str">
        <f t="shared" si="2"/>
        <v>6</v>
      </c>
      <c r="Z7" s="4" t="str">
        <f t="shared" si="3"/>
        <v>1754309586</v>
      </c>
    </row>
    <row r="8" spans="1:26" x14ac:dyDescent="0.3">
      <c r="A8" s="4">
        <v>1754309589</v>
      </c>
      <c r="B8" s="4">
        <v>7</v>
      </c>
      <c r="C8" s="4" t="s">
        <v>34</v>
      </c>
      <c r="D8" s="4" t="s">
        <v>750</v>
      </c>
      <c r="E8" s="2">
        <v>1500</v>
      </c>
      <c r="F8" s="2">
        <v>250</v>
      </c>
      <c r="G8" s="9">
        <v>0.83</v>
      </c>
      <c r="H8" s="4">
        <v>4</v>
      </c>
      <c r="I8" s="4" t="s">
        <v>18</v>
      </c>
      <c r="J8" s="4" t="s">
        <v>722</v>
      </c>
      <c r="K8" s="4" t="s">
        <v>737</v>
      </c>
      <c r="L8" s="4" t="s">
        <v>35</v>
      </c>
      <c r="M8" s="11" t="s">
        <v>949</v>
      </c>
      <c r="O8" t="s">
        <v>740</v>
      </c>
      <c r="P8">
        <f>COUNTIF(I$2:I$441,"large")</f>
        <v>2</v>
      </c>
      <c r="Q8" s="4" t="s">
        <v>22</v>
      </c>
      <c r="R8" t="str">
        <f t="shared" si="0"/>
        <v>Shrub</v>
      </c>
      <c r="U8" t="s">
        <v>742</v>
      </c>
      <c r="V8" s="4">
        <v>7</v>
      </c>
      <c r="W8" s="4" t="s">
        <v>33</v>
      </c>
      <c r="X8" s="4" t="str">
        <f t="shared" si="1"/>
        <v>-7</v>
      </c>
      <c r="Y8" s="4" t="str">
        <f t="shared" si="2"/>
        <v>7</v>
      </c>
      <c r="Z8" s="4" t="str">
        <f t="shared" si="3"/>
        <v>1754309589</v>
      </c>
    </row>
    <row r="9" spans="1:26" x14ac:dyDescent="0.3">
      <c r="A9" s="4">
        <v>1754309591</v>
      </c>
      <c r="B9" s="4">
        <v>8</v>
      </c>
      <c r="C9" s="4" t="s">
        <v>37</v>
      </c>
      <c r="D9" s="4" t="s">
        <v>751</v>
      </c>
      <c r="E9" s="2">
        <v>299</v>
      </c>
      <c r="F9" s="2">
        <v>153</v>
      </c>
      <c r="G9" s="9">
        <v>0.48</v>
      </c>
      <c r="H9" s="4">
        <v>2.5</v>
      </c>
      <c r="I9" s="4" t="s">
        <v>18</v>
      </c>
      <c r="J9" s="4" t="s">
        <v>723</v>
      </c>
      <c r="K9" s="4" t="s">
        <v>732</v>
      </c>
      <c r="L9" s="4" t="s">
        <v>29</v>
      </c>
      <c r="M9" s="11" t="s">
        <v>949</v>
      </c>
      <c r="Q9" s="4" t="s">
        <v>28</v>
      </c>
      <c r="R9" t="str">
        <f t="shared" si="0"/>
        <v>Herb</v>
      </c>
      <c r="U9" t="s">
        <v>742</v>
      </c>
      <c r="V9" s="4">
        <v>8</v>
      </c>
      <c r="W9" s="4" t="s">
        <v>36</v>
      </c>
      <c r="X9" s="4" t="str">
        <f t="shared" si="1"/>
        <v>-8</v>
      </c>
      <c r="Y9" s="4" t="str">
        <f t="shared" si="2"/>
        <v>8</v>
      </c>
      <c r="Z9" s="4" t="str">
        <f t="shared" si="3"/>
        <v>1754309591</v>
      </c>
    </row>
    <row r="10" spans="1:26" x14ac:dyDescent="0.3">
      <c r="A10" s="4">
        <v>1754309594</v>
      </c>
      <c r="B10" s="4">
        <v>9</v>
      </c>
      <c r="C10" s="4" t="s">
        <v>21</v>
      </c>
      <c r="D10" s="4" t="s">
        <v>745</v>
      </c>
      <c r="E10" s="2">
        <v>449</v>
      </c>
      <c r="F10" s="2">
        <v>384</v>
      </c>
      <c r="G10" s="9">
        <v>0.14000000000000001</v>
      </c>
      <c r="H10" s="4">
        <v>4.4000000000000004</v>
      </c>
      <c r="I10" s="4" t="s">
        <v>18</v>
      </c>
      <c r="J10" s="4" t="s">
        <v>722</v>
      </c>
      <c r="K10" s="4" t="s">
        <v>733</v>
      </c>
      <c r="L10" s="4" t="s">
        <v>23</v>
      </c>
      <c r="M10" s="11" t="s">
        <v>949</v>
      </c>
      <c r="Q10" s="4" t="s">
        <v>22</v>
      </c>
      <c r="R10" t="str">
        <f t="shared" si="0"/>
        <v>Shrub</v>
      </c>
      <c r="U10" t="s">
        <v>746</v>
      </c>
      <c r="V10" s="4">
        <v>9</v>
      </c>
      <c r="W10" s="4" t="s">
        <v>38</v>
      </c>
      <c r="X10" s="4" t="str">
        <f t="shared" si="1"/>
        <v>-9</v>
      </c>
      <c r="Y10" s="4" t="str">
        <f t="shared" si="2"/>
        <v>9</v>
      </c>
      <c r="Z10" s="4" t="str">
        <f t="shared" si="3"/>
        <v>1754309594</v>
      </c>
    </row>
    <row r="11" spans="1:26" x14ac:dyDescent="0.3">
      <c r="A11" s="4">
        <v>1754309596</v>
      </c>
      <c r="B11" s="4">
        <v>10</v>
      </c>
      <c r="C11" s="4" t="s">
        <v>40</v>
      </c>
      <c r="D11" s="4" t="s">
        <v>752</v>
      </c>
      <c r="E11" s="2">
        <v>499</v>
      </c>
      <c r="F11" s="2">
        <v>335</v>
      </c>
      <c r="G11" s="9">
        <v>0.32</v>
      </c>
      <c r="H11" s="4">
        <v>4</v>
      </c>
      <c r="I11" s="4" t="s">
        <v>18</v>
      </c>
      <c r="J11" s="4" t="s">
        <v>724</v>
      </c>
      <c r="K11" s="4" t="s">
        <v>733</v>
      </c>
      <c r="L11" s="4" t="s">
        <v>23</v>
      </c>
      <c r="M11" s="11" t="s">
        <v>949</v>
      </c>
      <c r="Q11" s="4" t="s">
        <v>41</v>
      </c>
      <c r="R11" t="str">
        <f t="shared" si="0"/>
        <v>Succulent</v>
      </c>
      <c r="U11" t="s">
        <v>742</v>
      </c>
      <c r="V11" s="4">
        <v>10</v>
      </c>
      <c r="W11" s="4" t="s">
        <v>39</v>
      </c>
      <c r="X11" s="4" t="str">
        <f t="shared" si="1"/>
        <v>10</v>
      </c>
      <c r="Y11" s="4" t="str">
        <f t="shared" si="2"/>
        <v>10</v>
      </c>
      <c r="Z11" s="4" t="str">
        <f t="shared" si="3"/>
        <v>1754309596</v>
      </c>
    </row>
    <row r="12" spans="1:26" x14ac:dyDescent="0.3">
      <c r="A12" s="4">
        <v>1754309599</v>
      </c>
      <c r="B12" s="4">
        <v>11</v>
      </c>
      <c r="C12" s="4" t="s">
        <v>43</v>
      </c>
      <c r="D12" s="4" t="s">
        <v>753</v>
      </c>
      <c r="E12" s="2">
        <v>399</v>
      </c>
      <c r="F12" s="2">
        <v>135</v>
      </c>
      <c r="G12" s="9">
        <v>0.66</v>
      </c>
      <c r="H12" s="4">
        <v>4</v>
      </c>
      <c r="I12" s="4" t="s">
        <v>13</v>
      </c>
      <c r="J12" s="4" t="s">
        <v>722</v>
      </c>
      <c r="K12" s="4" t="s">
        <v>732</v>
      </c>
      <c r="L12" s="4" t="s">
        <v>44</v>
      </c>
      <c r="M12" s="11" t="s">
        <v>949</v>
      </c>
      <c r="Q12" s="4" t="s">
        <v>22</v>
      </c>
      <c r="R12" t="str">
        <f t="shared" si="0"/>
        <v>Shrub</v>
      </c>
      <c r="U12" t="s">
        <v>742</v>
      </c>
      <c r="V12" s="4">
        <v>11</v>
      </c>
      <c r="W12" s="4" t="s">
        <v>42</v>
      </c>
      <c r="X12" s="4" t="str">
        <f t="shared" si="1"/>
        <v>11</v>
      </c>
      <c r="Y12" s="4" t="str">
        <f t="shared" si="2"/>
        <v>11</v>
      </c>
      <c r="Z12" s="4" t="str">
        <f t="shared" si="3"/>
        <v>1754309599</v>
      </c>
    </row>
    <row r="13" spans="1:26" x14ac:dyDescent="0.3">
      <c r="A13" s="4">
        <v>1754309601</v>
      </c>
      <c r="B13" s="4">
        <v>12</v>
      </c>
      <c r="C13" s="4" t="s">
        <v>46</v>
      </c>
      <c r="D13" s="4" t="s">
        <v>754</v>
      </c>
      <c r="E13" s="2">
        <v>1500</v>
      </c>
      <c r="F13" s="2">
        <v>160</v>
      </c>
      <c r="G13" s="9">
        <v>0.89</v>
      </c>
      <c r="H13" s="4">
        <v>4</v>
      </c>
      <c r="I13" s="4" t="s">
        <v>18</v>
      </c>
      <c r="J13" s="4" t="s">
        <v>725</v>
      </c>
      <c r="K13" s="4" t="s">
        <v>737</v>
      </c>
      <c r="L13" s="4" t="s">
        <v>19</v>
      </c>
      <c r="M13" s="11" t="s">
        <v>949</v>
      </c>
      <c r="Q13" s="4" t="s">
        <v>47</v>
      </c>
      <c r="R13" t="str">
        <f t="shared" si="0"/>
        <v>Air purifier plant</v>
      </c>
      <c r="U13" t="s">
        <v>742</v>
      </c>
      <c r="V13" s="4">
        <v>12</v>
      </c>
      <c r="W13" s="4" t="s">
        <v>45</v>
      </c>
      <c r="X13" s="4" t="str">
        <f t="shared" si="1"/>
        <v>12</v>
      </c>
      <c r="Y13" s="4" t="str">
        <f t="shared" si="2"/>
        <v>12</v>
      </c>
      <c r="Z13" s="4" t="str">
        <f t="shared" si="3"/>
        <v>1754309601</v>
      </c>
    </row>
    <row r="14" spans="1:26" x14ac:dyDescent="0.3">
      <c r="A14" s="4">
        <v>1754309604</v>
      </c>
      <c r="B14" s="4">
        <v>13</v>
      </c>
      <c r="C14" s="4" t="s">
        <v>40</v>
      </c>
      <c r="D14" s="4" t="s">
        <v>752</v>
      </c>
      <c r="E14" s="2">
        <v>749</v>
      </c>
      <c r="F14" s="2">
        <v>516</v>
      </c>
      <c r="G14" s="9">
        <v>0.31</v>
      </c>
      <c r="H14" s="4">
        <v>3.6</v>
      </c>
      <c r="I14" s="4" t="s">
        <v>18</v>
      </c>
      <c r="J14" s="4" t="s">
        <v>724</v>
      </c>
      <c r="K14" s="4" t="s">
        <v>733</v>
      </c>
      <c r="L14" s="4" t="s">
        <v>23</v>
      </c>
      <c r="M14" s="11" t="s">
        <v>949</v>
      </c>
      <c r="Q14" s="4" t="s">
        <v>41</v>
      </c>
      <c r="R14" t="str">
        <f t="shared" si="0"/>
        <v>Succulent</v>
      </c>
      <c r="U14" t="s">
        <v>742</v>
      </c>
      <c r="V14" s="4">
        <v>13</v>
      </c>
      <c r="W14" s="4" t="s">
        <v>48</v>
      </c>
      <c r="X14" s="4" t="str">
        <f t="shared" si="1"/>
        <v>13</v>
      </c>
      <c r="Y14" s="4" t="str">
        <f t="shared" si="2"/>
        <v>13</v>
      </c>
      <c r="Z14" s="4" t="str">
        <f t="shared" si="3"/>
        <v>1754309604</v>
      </c>
    </row>
    <row r="15" spans="1:26" x14ac:dyDescent="0.3">
      <c r="A15" s="4">
        <v>1754309606</v>
      </c>
      <c r="B15" s="4">
        <v>14</v>
      </c>
      <c r="C15" s="4" t="s">
        <v>50</v>
      </c>
      <c r="D15" s="4" t="s">
        <v>755</v>
      </c>
      <c r="E15" s="2">
        <v>549</v>
      </c>
      <c r="F15" s="2">
        <v>388</v>
      </c>
      <c r="G15" s="9">
        <v>0.28999999999999998</v>
      </c>
      <c r="H15" s="4">
        <v>4.3</v>
      </c>
      <c r="I15" s="4" t="s">
        <v>18</v>
      </c>
      <c r="J15" s="4" t="s">
        <v>726</v>
      </c>
      <c r="K15" s="4" t="s">
        <v>733</v>
      </c>
      <c r="L15" s="4" t="s">
        <v>23</v>
      </c>
      <c r="M15" s="11" t="s">
        <v>949</v>
      </c>
      <c r="Q15" s="4" t="s">
        <v>51</v>
      </c>
      <c r="R15" t="str">
        <f t="shared" si="0"/>
        <v>Foliage</v>
      </c>
      <c r="U15" t="s">
        <v>742</v>
      </c>
      <c r="V15" s="4">
        <v>14</v>
      </c>
      <c r="W15" s="4" t="s">
        <v>49</v>
      </c>
      <c r="X15" s="4" t="str">
        <f t="shared" si="1"/>
        <v>14</v>
      </c>
      <c r="Y15" s="4" t="str">
        <f t="shared" si="2"/>
        <v>14</v>
      </c>
      <c r="Z15" s="4" t="str">
        <f t="shared" si="3"/>
        <v>1754309606</v>
      </c>
    </row>
    <row r="16" spans="1:26" x14ac:dyDescent="0.3">
      <c r="A16" s="4">
        <v>1754309609</v>
      </c>
      <c r="B16" s="4">
        <v>15</v>
      </c>
      <c r="C16" s="4" t="s">
        <v>46</v>
      </c>
      <c r="D16" s="4" t="s">
        <v>754</v>
      </c>
      <c r="E16" s="2">
        <v>1300</v>
      </c>
      <c r="F16" s="2">
        <v>145</v>
      </c>
      <c r="G16" s="9">
        <v>0.88</v>
      </c>
      <c r="H16" s="4">
        <v>4</v>
      </c>
      <c r="I16" s="4" t="s">
        <v>18</v>
      </c>
      <c r="J16" s="4" t="s">
        <v>725</v>
      </c>
      <c r="K16" s="4" t="s">
        <v>737</v>
      </c>
      <c r="L16" s="4" t="s">
        <v>53</v>
      </c>
      <c r="M16" s="11" t="s">
        <v>949</v>
      </c>
      <c r="Q16" s="4" t="s">
        <v>47</v>
      </c>
      <c r="R16" t="str">
        <f t="shared" si="0"/>
        <v>Air purifier plant</v>
      </c>
      <c r="U16" t="s">
        <v>742</v>
      </c>
      <c r="V16" s="4">
        <v>15</v>
      </c>
      <c r="W16" s="4" t="s">
        <v>52</v>
      </c>
      <c r="X16" s="4" t="str">
        <f t="shared" si="1"/>
        <v>15</v>
      </c>
      <c r="Y16" s="4" t="str">
        <f t="shared" si="2"/>
        <v>15</v>
      </c>
      <c r="Z16" s="4" t="str">
        <f t="shared" si="3"/>
        <v>1754309609</v>
      </c>
    </row>
    <row r="17" spans="1:26" x14ac:dyDescent="0.3">
      <c r="A17" s="4">
        <v>1754309611</v>
      </c>
      <c r="B17" s="4">
        <v>16</v>
      </c>
      <c r="C17" s="4" t="s">
        <v>55</v>
      </c>
      <c r="D17" s="4" t="s">
        <v>756</v>
      </c>
      <c r="E17" s="2">
        <v>399</v>
      </c>
      <c r="F17" s="2">
        <v>179</v>
      </c>
      <c r="G17" s="9">
        <v>0.55000000000000004</v>
      </c>
      <c r="H17" s="4">
        <v>4</v>
      </c>
      <c r="I17" s="4" t="s">
        <v>18</v>
      </c>
      <c r="J17" s="4" t="s">
        <v>727</v>
      </c>
      <c r="K17" s="4" t="s">
        <v>737</v>
      </c>
      <c r="L17" s="4" t="s">
        <v>57</v>
      </c>
      <c r="M17" s="11" t="s">
        <v>949</v>
      </c>
      <c r="Q17" s="4" t="s">
        <v>56</v>
      </c>
      <c r="R17" t="str">
        <f t="shared" si="0"/>
        <v>Bamboo</v>
      </c>
      <c r="U17" t="s">
        <v>742</v>
      </c>
      <c r="V17" s="4">
        <v>16</v>
      </c>
      <c r="W17" s="4" t="s">
        <v>54</v>
      </c>
      <c r="X17" s="4" t="str">
        <f t="shared" si="1"/>
        <v>16</v>
      </c>
      <c r="Y17" s="4" t="str">
        <f t="shared" si="2"/>
        <v>16</v>
      </c>
      <c r="Z17" s="4" t="str">
        <f t="shared" si="3"/>
        <v>1754309611</v>
      </c>
    </row>
    <row r="18" spans="1:26" x14ac:dyDescent="0.3">
      <c r="A18" s="4">
        <v>1754309614</v>
      </c>
      <c r="B18" s="4">
        <v>17</v>
      </c>
      <c r="C18" s="4" t="s">
        <v>59</v>
      </c>
      <c r="D18" s="4" t="s">
        <v>757</v>
      </c>
      <c r="E18" s="2">
        <v>499</v>
      </c>
      <c r="F18" s="2">
        <v>142</v>
      </c>
      <c r="G18" s="9">
        <v>0.71</v>
      </c>
      <c r="H18" s="4">
        <v>4</v>
      </c>
      <c r="I18" s="4" t="s">
        <v>13</v>
      </c>
      <c r="J18" s="4" t="s">
        <v>723</v>
      </c>
      <c r="K18" s="4" t="s">
        <v>732</v>
      </c>
      <c r="L18" s="4" t="s">
        <v>29</v>
      </c>
      <c r="M18" s="11" t="s">
        <v>949</v>
      </c>
      <c r="Q18" s="4" t="s">
        <v>28</v>
      </c>
      <c r="R18" t="str">
        <f t="shared" si="0"/>
        <v>Herb</v>
      </c>
      <c r="U18" t="s">
        <v>742</v>
      </c>
      <c r="V18" s="4">
        <v>17</v>
      </c>
      <c r="W18" s="4" t="s">
        <v>58</v>
      </c>
      <c r="X18" s="4" t="str">
        <f t="shared" si="1"/>
        <v>17</v>
      </c>
      <c r="Y18" s="4" t="str">
        <f t="shared" si="2"/>
        <v>17</v>
      </c>
      <c r="Z18" s="4" t="str">
        <f t="shared" si="3"/>
        <v>1754309614</v>
      </c>
    </row>
    <row r="19" spans="1:26" x14ac:dyDescent="0.3">
      <c r="A19" s="4">
        <v>1754309616</v>
      </c>
      <c r="B19" s="4">
        <v>18</v>
      </c>
      <c r="C19" s="4" t="s">
        <v>61</v>
      </c>
      <c r="D19" s="4" t="s">
        <v>758</v>
      </c>
      <c r="E19" s="2">
        <v>565</v>
      </c>
      <c r="F19" s="2">
        <v>135</v>
      </c>
      <c r="G19" s="9">
        <v>0.76</v>
      </c>
      <c r="H19" s="4">
        <v>3.4</v>
      </c>
      <c r="I19" s="4" t="s">
        <v>18</v>
      </c>
      <c r="J19" s="4" t="s">
        <v>723</v>
      </c>
      <c r="K19" s="4" t="s">
        <v>732</v>
      </c>
      <c r="L19" s="4" t="s">
        <v>29</v>
      </c>
      <c r="M19" s="11" t="s">
        <v>949</v>
      </c>
      <c r="Q19" s="4" t="s">
        <v>28</v>
      </c>
      <c r="R19" t="str">
        <f t="shared" si="0"/>
        <v>Herb</v>
      </c>
      <c r="U19" t="s">
        <v>742</v>
      </c>
      <c r="V19" s="4">
        <v>18</v>
      </c>
      <c r="W19" s="4" t="s">
        <v>60</v>
      </c>
      <c r="X19" s="4" t="str">
        <f t="shared" si="1"/>
        <v>18</v>
      </c>
      <c r="Y19" s="4" t="str">
        <f t="shared" si="2"/>
        <v>18</v>
      </c>
      <c r="Z19" s="4" t="str">
        <f t="shared" si="3"/>
        <v>1754309616</v>
      </c>
    </row>
    <row r="20" spans="1:26" x14ac:dyDescent="0.3">
      <c r="A20" s="4">
        <v>1754309619</v>
      </c>
      <c r="B20" s="4">
        <v>19</v>
      </c>
      <c r="C20" s="4" t="s">
        <v>25</v>
      </c>
      <c r="D20" s="4" t="s">
        <v>747</v>
      </c>
      <c r="E20" s="2">
        <v>449</v>
      </c>
      <c r="F20" s="2">
        <v>349</v>
      </c>
      <c r="G20" s="9">
        <v>0.22</v>
      </c>
      <c r="H20" s="4">
        <v>4.3</v>
      </c>
      <c r="I20" s="4" t="s">
        <v>18</v>
      </c>
      <c r="J20" s="4" t="s">
        <v>722</v>
      </c>
      <c r="K20" s="4" t="s">
        <v>733</v>
      </c>
      <c r="L20" s="4" t="s">
        <v>23</v>
      </c>
      <c r="M20" s="11" t="s">
        <v>949</v>
      </c>
      <c r="Q20" s="4" t="s">
        <v>22</v>
      </c>
      <c r="R20" t="str">
        <f t="shared" si="0"/>
        <v>Shrub</v>
      </c>
      <c r="U20" t="s">
        <v>746</v>
      </c>
      <c r="V20" s="4">
        <v>19</v>
      </c>
      <c r="W20" s="4" t="s">
        <v>62</v>
      </c>
      <c r="X20" s="4" t="str">
        <f t="shared" si="1"/>
        <v>19</v>
      </c>
      <c r="Y20" s="4" t="str">
        <f t="shared" si="2"/>
        <v>19</v>
      </c>
      <c r="Z20" s="4" t="str">
        <f t="shared" si="3"/>
        <v>1754309619</v>
      </c>
    </row>
    <row r="21" spans="1:26" x14ac:dyDescent="0.3">
      <c r="A21" s="4">
        <v>1754309621</v>
      </c>
      <c r="B21" s="4">
        <v>20</v>
      </c>
      <c r="C21" s="4" t="s">
        <v>25</v>
      </c>
      <c r="D21" s="4" t="s">
        <v>747</v>
      </c>
      <c r="E21" s="2">
        <v>449</v>
      </c>
      <c r="F21" s="2">
        <v>349</v>
      </c>
      <c r="G21" s="9">
        <v>0.22</v>
      </c>
      <c r="H21" s="4">
        <v>4.3</v>
      </c>
      <c r="I21" s="4" t="s">
        <v>18</v>
      </c>
      <c r="J21" s="4" t="s">
        <v>722</v>
      </c>
      <c r="K21" s="4" t="s">
        <v>733</v>
      </c>
      <c r="L21" s="4" t="s">
        <v>23</v>
      </c>
      <c r="M21" s="11" t="s">
        <v>949</v>
      </c>
      <c r="Q21" s="4" t="s">
        <v>22</v>
      </c>
      <c r="R21" t="str">
        <f t="shared" si="0"/>
        <v>Shrub</v>
      </c>
      <c r="U21" t="s">
        <v>746</v>
      </c>
      <c r="V21" s="4">
        <v>20</v>
      </c>
      <c r="W21" s="4" t="s">
        <v>63</v>
      </c>
      <c r="X21" s="4" t="str">
        <f t="shared" si="1"/>
        <v>20</v>
      </c>
      <c r="Y21" s="4" t="str">
        <f t="shared" si="2"/>
        <v>20</v>
      </c>
      <c r="Z21" s="4" t="str">
        <f t="shared" si="3"/>
        <v>1754309621</v>
      </c>
    </row>
    <row r="22" spans="1:26" x14ac:dyDescent="0.3">
      <c r="A22" s="4">
        <v>1754309624</v>
      </c>
      <c r="B22" s="4">
        <v>21</v>
      </c>
      <c r="C22" s="4" t="s">
        <v>65</v>
      </c>
      <c r="D22" s="4" t="s">
        <v>759</v>
      </c>
      <c r="E22" s="2">
        <v>367</v>
      </c>
      <c r="F22" s="2">
        <v>264</v>
      </c>
      <c r="G22" s="9">
        <v>0.28000000000000003</v>
      </c>
      <c r="H22" s="4">
        <v>4</v>
      </c>
      <c r="I22" s="4" t="s">
        <v>13</v>
      </c>
      <c r="J22" s="4" t="s">
        <v>723</v>
      </c>
      <c r="K22" s="4" t="s">
        <v>732</v>
      </c>
      <c r="L22" s="4" t="s">
        <v>15</v>
      </c>
      <c r="M22" s="11" t="s">
        <v>949</v>
      </c>
      <c r="Q22" s="4" t="s">
        <v>28</v>
      </c>
      <c r="R22" t="str">
        <f t="shared" si="0"/>
        <v>Herb</v>
      </c>
      <c r="U22" t="s">
        <v>742</v>
      </c>
      <c r="V22" s="4">
        <v>21</v>
      </c>
      <c r="W22" s="4" t="s">
        <v>64</v>
      </c>
      <c r="X22" s="4" t="str">
        <f t="shared" si="1"/>
        <v>21</v>
      </c>
      <c r="Y22" s="4" t="str">
        <f t="shared" si="2"/>
        <v>21</v>
      </c>
      <c r="Z22" s="4" t="str">
        <f t="shared" si="3"/>
        <v>1754309624</v>
      </c>
    </row>
    <row r="23" spans="1:26" x14ac:dyDescent="0.3">
      <c r="A23" s="4">
        <v>1754309626</v>
      </c>
      <c r="B23" s="4">
        <v>22</v>
      </c>
      <c r="C23" s="4" t="s">
        <v>67</v>
      </c>
      <c r="D23" s="4" t="s">
        <v>760</v>
      </c>
      <c r="E23" s="2">
        <v>399</v>
      </c>
      <c r="F23" s="2">
        <v>135</v>
      </c>
      <c r="G23" s="9">
        <v>0.66</v>
      </c>
      <c r="H23" s="4">
        <v>4</v>
      </c>
      <c r="I23" s="4" t="s">
        <v>13</v>
      </c>
      <c r="J23" s="4" t="s">
        <v>728</v>
      </c>
      <c r="K23" s="4" t="s">
        <v>732</v>
      </c>
      <c r="L23" s="4" t="s">
        <v>44</v>
      </c>
      <c r="M23" s="11" t="s">
        <v>949</v>
      </c>
      <c r="Q23" s="4" t="s">
        <v>68</v>
      </c>
      <c r="R23" t="str">
        <f t="shared" si="0"/>
        <v>Fruit</v>
      </c>
      <c r="U23" t="s">
        <v>742</v>
      </c>
      <c r="V23" s="4">
        <v>22</v>
      </c>
      <c r="W23" s="4" t="s">
        <v>66</v>
      </c>
      <c r="X23" s="4" t="str">
        <f t="shared" si="1"/>
        <v>22</v>
      </c>
      <c r="Y23" s="4" t="str">
        <f t="shared" si="2"/>
        <v>22</v>
      </c>
      <c r="Z23" s="4" t="str">
        <f t="shared" si="3"/>
        <v>1754309626</v>
      </c>
    </row>
    <row r="24" spans="1:26" x14ac:dyDescent="0.3">
      <c r="A24" s="4">
        <v>1754309629</v>
      </c>
      <c r="B24" s="4">
        <v>23</v>
      </c>
      <c r="C24" s="4" t="s">
        <v>40</v>
      </c>
      <c r="D24" s="4" t="s">
        <v>752</v>
      </c>
      <c r="E24" s="2">
        <v>499</v>
      </c>
      <c r="F24" s="2">
        <v>424</v>
      </c>
      <c r="G24" s="9">
        <v>0.15</v>
      </c>
      <c r="H24" s="4">
        <v>4.3</v>
      </c>
      <c r="I24" s="4" t="s">
        <v>18</v>
      </c>
      <c r="J24" s="4" t="s">
        <v>724</v>
      </c>
      <c r="K24" s="4" t="s">
        <v>733</v>
      </c>
      <c r="L24" s="4" t="s">
        <v>23</v>
      </c>
      <c r="M24" s="11" t="s">
        <v>949</v>
      </c>
      <c r="Q24" s="4" t="s">
        <v>41</v>
      </c>
      <c r="R24" t="str">
        <f t="shared" si="0"/>
        <v>Succulent</v>
      </c>
      <c r="U24" t="s">
        <v>742</v>
      </c>
      <c r="V24" s="4">
        <v>23</v>
      </c>
      <c r="W24" s="4" t="s">
        <v>69</v>
      </c>
      <c r="X24" s="4" t="str">
        <f t="shared" si="1"/>
        <v>23</v>
      </c>
      <c r="Y24" s="4" t="str">
        <f t="shared" si="2"/>
        <v>23</v>
      </c>
      <c r="Z24" s="4" t="str">
        <f t="shared" si="3"/>
        <v>1754309629</v>
      </c>
    </row>
    <row r="25" spans="1:26" x14ac:dyDescent="0.3">
      <c r="A25" s="4">
        <v>1754309631</v>
      </c>
      <c r="B25" s="4">
        <v>24</v>
      </c>
      <c r="C25" s="4" t="s">
        <v>21</v>
      </c>
      <c r="D25" s="4" t="s">
        <v>745</v>
      </c>
      <c r="E25" s="2">
        <v>449</v>
      </c>
      <c r="F25" s="2">
        <v>359</v>
      </c>
      <c r="G25" s="9">
        <v>0.2</v>
      </c>
      <c r="H25" s="4">
        <v>4.4000000000000004</v>
      </c>
      <c r="I25" s="4" t="s">
        <v>18</v>
      </c>
      <c r="J25" s="4" t="s">
        <v>722</v>
      </c>
      <c r="K25" s="4" t="s">
        <v>733</v>
      </c>
      <c r="L25" s="4" t="s">
        <v>23</v>
      </c>
      <c r="M25" s="11" t="s">
        <v>949</v>
      </c>
      <c r="Q25" s="4" t="s">
        <v>22</v>
      </c>
      <c r="R25" t="str">
        <f t="shared" si="0"/>
        <v>Shrub</v>
      </c>
      <c r="U25" t="s">
        <v>746</v>
      </c>
      <c r="V25" s="4">
        <v>24</v>
      </c>
      <c r="W25" s="4" t="s">
        <v>70</v>
      </c>
      <c r="X25" s="4" t="str">
        <f t="shared" si="1"/>
        <v>24</v>
      </c>
      <c r="Y25" s="4" t="str">
        <f t="shared" si="2"/>
        <v>24</v>
      </c>
      <c r="Z25" s="4" t="str">
        <f t="shared" si="3"/>
        <v>1754309631</v>
      </c>
    </row>
    <row r="26" spans="1:26" x14ac:dyDescent="0.3">
      <c r="A26" s="4">
        <v>1754309634</v>
      </c>
      <c r="B26" s="4">
        <v>25</v>
      </c>
      <c r="C26" s="4" t="s">
        <v>17</v>
      </c>
      <c r="D26" s="4" t="s">
        <v>743</v>
      </c>
      <c r="E26" s="2">
        <v>316</v>
      </c>
      <c r="F26" s="2">
        <v>196</v>
      </c>
      <c r="G26" s="9">
        <v>0.37</v>
      </c>
      <c r="H26" s="4">
        <v>2.8</v>
      </c>
      <c r="I26" s="4" t="s">
        <v>18</v>
      </c>
      <c r="J26" s="4" t="s">
        <v>722</v>
      </c>
      <c r="K26" s="4" t="s">
        <v>737</v>
      </c>
      <c r="L26" s="4" t="s">
        <v>72</v>
      </c>
      <c r="M26" s="11" t="s">
        <v>949</v>
      </c>
      <c r="Q26" s="4" t="s">
        <v>22</v>
      </c>
      <c r="R26" t="str">
        <f t="shared" si="0"/>
        <v>Shrub</v>
      </c>
      <c r="U26" t="s">
        <v>744</v>
      </c>
      <c r="V26" s="4">
        <v>25</v>
      </c>
      <c r="W26" s="4" t="s">
        <v>71</v>
      </c>
      <c r="X26" s="4" t="str">
        <f t="shared" si="1"/>
        <v>25</v>
      </c>
      <c r="Y26" s="4" t="str">
        <f t="shared" si="2"/>
        <v>25</v>
      </c>
      <c r="Z26" s="4" t="str">
        <f t="shared" si="3"/>
        <v>1754309634</v>
      </c>
    </row>
    <row r="27" spans="1:26" x14ac:dyDescent="0.3">
      <c r="A27" s="4">
        <v>1754309636</v>
      </c>
      <c r="B27" s="4">
        <v>26</v>
      </c>
      <c r="C27" s="4" t="s">
        <v>74</v>
      </c>
      <c r="D27" s="4" t="s">
        <v>761</v>
      </c>
      <c r="E27" s="2">
        <v>599</v>
      </c>
      <c r="F27" s="2">
        <v>134</v>
      </c>
      <c r="G27" s="9">
        <v>0.77</v>
      </c>
      <c r="H27" s="4">
        <v>3.5</v>
      </c>
      <c r="I27" s="4" t="s">
        <v>18</v>
      </c>
      <c r="J27" s="4" t="s">
        <v>723</v>
      </c>
      <c r="K27" s="4" t="s">
        <v>732</v>
      </c>
      <c r="L27" s="4" t="s">
        <v>29</v>
      </c>
      <c r="M27" s="11" t="s">
        <v>949</v>
      </c>
      <c r="Q27" s="4" t="s">
        <v>28</v>
      </c>
      <c r="R27" t="str">
        <f t="shared" si="0"/>
        <v>Herb</v>
      </c>
      <c r="U27" t="s">
        <v>742</v>
      </c>
      <c r="V27" s="4">
        <v>26</v>
      </c>
      <c r="W27" s="4" t="s">
        <v>73</v>
      </c>
      <c r="X27" s="4" t="str">
        <f t="shared" si="1"/>
        <v>26</v>
      </c>
      <c r="Y27" s="4" t="str">
        <f t="shared" si="2"/>
        <v>26</v>
      </c>
      <c r="Z27" s="4" t="str">
        <f t="shared" si="3"/>
        <v>1754309636</v>
      </c>
    </row>
    <row r="28" spans="1:26" x14ac:dyDescent="0.3">
      <c r="A28" s="4">
        <v>1754309638</v>
      </c>
      <c r="B28" s="4">
        <v>27</v>
      </c>
      <c r="C28" s="4" t="s">
        <v>46</v>
      </c>
      <c r="D28" s="4" t="s">
        <v>754</v>
      </c>
      <c r="E28" s="2">
        <v>1300</v>
      </c>
      <c r="F28" s="2">
        <v>169</v>
      </c>
      <c r="G28" s="9">
        <v>0.87</v>
      </c>
      <c r="H28" s="4">
        <v>4</v>
      </c>
      <c r="I28" s="4" t="s">
        <v>18</v>
      </c>
      <c r="J28" s="4" t="s">
        <v>725</v>
      </c>
      <c r="K28" s="4" t="s">
        <v>737</v>
      </c>
      <c r="L28" s="4" t="s">
        <v>76</v>
      </c>
      <c r="M28" s="11" t="s">
        <v>949</v>
      </c>
      <c r="Q28" s="4" t="s">
        <v>47</v>
      </c>
      <c r="R28" t="str">
        <f t="shared" si="0"/>
        <v>Air purifier plant</v>
      </c>
      <c r="U28" t="s">
        <v>742</v>
      </c>
      <c r="V28" s="4">
        <v>27</v>
      </c>
      <c r="W28" s="4" t="s">
        <v>75</v>
      </c>
      <c r="X28" s="4" t="str">
        <f t="shared" si="1"/>
        <v>27</v>
      </c>
      <c r="Y28" s="4" t="str">
        <f t="shared" si="2"/>
        <v>27</v>
      </c>
      <c r="Z28" s="4" t="str">
        <f t="shared" si="3"/>
        <v>1754309638</v>
      </c>
    </row>
    <row r="29" spans="1:26" x14ac:dyDescent="0.3">
      <c r="A29" s="4">
        <v>1754309641</v>
      </c>
      <c r="B29" s="4">
        <v>28</v>
      </c>
      <c r="C29" s="4" t="s">
        <v>78</v>
      </c>
      <c r="D29" s="4" t="s">
        <v>762</v>
      </c>
      <c r="E29" s="2">
        <v>449</v>
      </c>
      <c r="F29" s="2">
        <v>233</v>
      </c>
      <c r="G29" s="9">
        <v>0.48</v>
      </c>
      <c r="H29" s="4">
        <v>4</v>
      </c>
      <c r="I29" s="4" t="s">
        <v>18</v>
      </c>
      <c r="J29" s="4" t="s">
        <v>726</v>
      </c>
      <c r="K29" s="4" t="s">
        <v>737</v>
      </c>
      <c r="L29" s="4" t="s">
        <v>79</v>
      </c>
      <c r="M29" s="11" t="s">
        <v>949</v>
      </c>
      <c r="Q29" s="4" t="s">
        <v>51</v>
      </c>
      <c r="R29" t="str">
        <f t="shared" si="0"/>
        <v>Foliage</v>
      </c>
      <c r="U29" t="s">
        <v>742</v>
      </c>
      <c r="V29" s="4">
        <v>28</v>
      </c>
      <c r="W29" s="4" t="s">
        <v>77</v>
      </c>
      <c r="X29" s="4" t="str">
        <f t="shared" si="1"/>
        <v>28</v>
      </c>
      <c r="Y29" s="4" t="str">
        <f t="shared" si="2"/>
        <v>28</v>
      </c>
      <c r="Z29" s="4" t="str">
        <f t="shared" si="3"/>
        <v>1754309641</v>
      </c>
    </row>
    <row r="30" spans="1:26" x14ac:dyDescent="0.3">
      <c r="A30" s="4">
        <v>1754309643</v>
      </c>
      <c r="B30" s="4">
        <v>29</v>
      </c>
      <c r="C30" s="4" t="s">
        <v>40</v>
      </c>
      <c r="D30" s="4" t="s">
        <v>752</v>
      </c>
      <c r="E30" s="2">
        <v>449</v>
      </c>
      <c r="F30" s="2">
        <v>335</v>
      </c>
      <c r="G30" s="9">
        <v>0.25</v>
      </c>
      <c r="H30" s="4">
        <v>4</v>
      </c>
      <c r="I30" s="4" t="s">
        <v>18</v>
      </c>
      <c r="J30" s="4" t="s">
        <v>724</v>
      </c>
      <c r="K30" s="4" t="s">
        <v>733</v>
      </c>
      <c r="L30" s="4" t="s">
        <v>23</v>
      </c>
      <c r="M30" s="11" t="s">
        <v>949</v>
      </c>
      <c r="Q30" s="4" t="s">
        <v>41</v>
      </c>
      <c r="R30" t="str">
        <f t="shared" si="0"/>
        <v>Succulent</v>
      </c>
      <c r="U30" t="s">
        <v>742</v>
      </c>
      <c r="V30" s="4">
        <v>29</v>
      </c>
      <c r="W30" s="4" t="s">
        <v>80</v>
      </c>
      <c r="X30" s="4" t="str">
        <f t="shared" si="1"/>
        <v>29</v>
      </c>
      <c r="Y30" s="4" t="str">
        <f t="shared" si="2"/>
        <v>29</v>
      </c>
      <c r="Z30" s="4" t="str">
        <f t="shared" si="3"/>
        <v>1754309643</v>
      </c>
    </row>
    <row r="31" spans="1:26" x14ac:dyDescent="0.3">
      <c r="A31" s="4">
        <v>1754309646</v>
      </c>
      <c r="B31" s="4">
        <v>30</v>
      </c>
      <c r="C31" s="4" t="s">
        <v>40</v>
      </c>
      <c r="D31" s="4" t="s">
        <v>752</v>
      </c>
      <c r="E31" s="2">
        <v>499</v>
      </c>
      <c r="F31" s="2">
        <v>426</v>
      </c>
      <c r="G31" s="9">
        <v>0.14000000000000001</v>
      </c>
      <c r="H31" s="4">
        <v>4.2</v>
      </c>
      <c r="I31" s="4" t="s">
        <v>18</v>
      </c>
      <c r="J31" s="4" t="s">
        <v>724</v>
      </c>
      <c r="K31" s="4" t="s">
        <v>733</v>
      </c>
      <c r="L31" s="4" t="s">
        <v>23</v>
      </c>
      <c r="M31" s="11" t="s">
        <v>949</v>
      </c>
      <c r="Q31" s="4" t="s">
        <v>41</v>
      </c>
      <c r="R31" t="str">
        <f t="shared" si="0"/>
        <v>Succulent</v>
      </c>
      <c r="U31" t="s">
        <v>742</v>
      </c>
      <c r="V31" s="4">
        <v>30</v>
      </c>
      <c r="W31" s="4" t="s">
        <v>81</v>
      </c>
      <c r="X31" s="4" t="str">
        <f t="shared" si="1"/>
        <v>30</v>
      </c>
      <c r="Y31" s="4" t="str">
        <f t="shared" si="2"/>
        <v>30</v>
      </c>
      <c r="Z31" s="4" t="str">
        <f t="shared" si="3"/>
        <v>1754309646</v>
      </c>
    </row>
    <row r="32" spans="1:26" x14ac:dyDescent="0.3">
      <c r="A32" s="4">
        <v>1754309648</v>
      </c>
      <c r="B32" s="4">
        <v>31</v>
      </c>
      <c r="C32" s="4" t="s">
        <v>83</v>
      </c>
      <c r="D32" s="4" t="s">
        <v>763</v>
      </c>
      <c r="E32" s="2">
        <v>495</v>
      </c>
      <c r="F32" s="2">
        <v>155</v>
      </c>
      <c r="G32" s="9">
        <v>0.68</v>
      </c>
      <c r="H32" s="4">
        <v>4</v>
      </c>
      <c r="I32" s="4" t="s">
        <v>18</v>
      </c>
      <c r="J32" s="4" t="s">
        <v>727</v>
      </c>
      <c r="K32" s="4" t="s">
        <v>737</v>
      </c>
      <c r="L32" s="4" t="s">
        <v>84</v>
      </c>
      <c r="M32" s="11" t="s">
        <v>949</v>
      </c>
      <c r="Q32" s="4" t="s">
        <v>56</v>
      </c>
      <c r="R32" t="str">
        <f t="shared" si="0"/>
        <v>Bamboo</v>
      </c>
      <c r="U32" t="s">
        <v>742</v>
      </c>
      <c r="V32" s="4">
        <v>31</v>
      </c>
      <c r="W32" s="4" t="s">
        <v>82</v>
      </c>
      <c r="X32" s="4" t="str">
        <f t="shared" si="1"/>
        <v>31</v>
      </c>
      <c r="Y32" s="4" t="str">
        <f t="shared" si="2"/>
        <v>31</v>
      </c>
      <c r="Z32" s="4" t="str">
        <f t="shared" si="3"/>
        <v>1754309648</v>
      </c>
    </row>
    <row r="33" spans="1:26" x14ac:dyDescent="0.3">
      <c r="A33" s="4">
        <v>1754309651</v>
      </c>
      <c r="B33" s="4">
        <v>32</v>
      </c>
      <c r="C33" s="4" t="s">
        <v>34</v>
      </c>
      <c r="D33" s="4" t="s">
        <v>750</v>
      </c>
      <c r="E33" s="2">
        <v>1500</v>
      </c>
      <c r="F33" s="2">
        <v>250</v>
      </c>
      <c r="G33" s="9">
        <v>0.83</v>
      </c>
      <c r="H33" s="4">
        <v>4</v>
      </c>
      <c r="I33" s="4" t="s">
        <v>18</v>
      </c>
      <c r="J33" s="4" t="s">
        <v>722</v>
      </c>
      <c r="K33" s="4" t="s">
        <v>737</v>
      </c>
      <c r="L33" s="4" t="s">
        <v>35</v>
      </c>
      <c r="M33" s="11" t="s">
        <v>949</v>
      </c>
      <c r="Q33" s="4" t="s">
        <v>22</v>
      </c>
      <c r="R33" t="str">
        <f t="shared" si="0"/>
        <v>Shrub</v>
      </c>
      <c r="U33" t="s">
        <v>742</v>
      </c>
      <c r="V33" s="4">
        <v>32</v>
      </c>
      <c r="W33" s="4" t="s">
        <v>85</v>
      </c>
      <c r="X33" s="4" t="str">
        <f t="shared" si="1"/>
        <v>32</v>
      </c>
      <c r="Y33" s="4" t="str">
        <f t="shared" si="2"/>
        <v>32</v>
      </c>
      <c r="Z33" s="4" t="str">
        <f t="shared" si="3"/>
        <v>1754309651</v>
      </c>
    </row>
    <row r="34" spans="1:26" x14ac:dyDescent="0.3">
      <c r="A34" s="4">
        <v>1754309653</v>
      </c>
      <c r="B34" s="4">
        <v>33</v>
      </c>
      <c r="C34" s="4" t="s">
        <v>40</v>
      </c>
      <c r="D34" s="4" t="s">
        <v>752</v>
      </c>
      <c r="E34" s="2">
        <v>499</v>
      </c>
      <c r="F34" s="2">
        <v>335</v>
      </c>
      <c r="G34" s="9">
        <v>0.32</v>
      </c>
      <c r="H34" s="4">
        <v>4</v>
      </c>
      <c r="I34" s="4" t="s">
        <v>18</v>
      </c>
      <c r="J34" s="4" t="s">
        <v>724</v>
      </c>
      <c r="K34" s="4" t="s">
        <v>733</v>
      </c>
      <c r="L34" s="4" t="s">
        <v>23</v>
      </c>
      <c r="M34" s="11" t="s">
        <v>949</v>
      </c>
      <c r="Q34" s="4" t="s">
        <v>41</v>
      </c>
      <c r="R34" t="str">
        <f t="shared" si="0"/>
        <v>Succulent</v>
      </c>
      <c r="U34" t="s">
        <v>742</v>
      </c>
      <c r="V34" s="4">
        <v>33</v>
      </c>
      <c r="W34" s="4" t="s">
        <v>86</v>
      </c>
      <c r="X34" s="4" t="str">
        <f t="shared" si="1"/>
        <v>33</v>
      </c>
      <c r="Y34" s="4" t="str">
        <f t="shared" si="2"/>
        <v>33</v>
      </c>
      <c r="Z34" s="4" t="str">
        <f t="shared" si="3"/>
        <v>1754309653</v>
      </c>
    </row>
    <row r="35" spans="1:26" x14ac:dyDescent="0.3">
      <c r="A35" s="4">
        <v>1754309656</v>
      </c>
      <c r="B35" s="4">
        <v>34</v>
      </c>
      <c r="C35" s="4" t="s">
        <v>21</v>
      </c>
      <c r="D35" s="4" t="s">
        <v>745</v>
      </c>
      <c r="E35" s="2">
        <v>445</v>
      </c>
      <c r="F35" s="2">
        <v>335</v>
      </c>
      <c r="G35" s="9">
        <v>0.24</v>
      </c>
      <c r="H35" s="4">
        <v>4.4000000000000004</v>
      </c>
      <c r="I35" s="4" t="s">
        <v>18</v>
      </c>
      <c r="J35" s="4" t="s">
        <v>722</v>
      </c>
      <c r="K35" s="4" t="s">
        <v>733</v>
      </c>
      <c r="L35" s="4" t="s">
        <v>23</v>
      </c>
      <c r="M35" s="11" t="s">
        <v>949</v>
      </c>
      <c r="Q35" s="4" t="s">
        <v>22</v>
      </c>
      <c r="R35" t="str">
        <f t="shared" si="0"/>
        <v>Shrub</v>
      </c>
      <c r="U35" t="s">
        <v>746</v>
      </c>
      <c r="V35" s="4">
        <v>34</v>
      </c>
      <c r="W35" s="4" t="s">
        <v>87</v>
      </c>
      <c r="X35" s="4" t="str">
        <f t="shared" si="1"/>
        <v>34</v>
      </c>
      <c r="Y35" s="4" t="str">
        <f t="shared" si="2"/>
        <v>34</v>
      </c>
      <c r="Z35" s="4" t="str">
        <f t="shared" si="3"/>
        <v>1754309656</v>
      </c>
    </row>
    <row r="36" spans="1:26" x14ac:dyDescent="0.3">
      <c r="A36" s="4">
        <v>1754309658</v>
      </c>
      <c r="B36" s="4">
        <v>35</v>
      </c>
      <c r="C36" s="4" t="s">
        <v>46</v>
      </c>
      <c r="D36" s="4" t="s">
        <v>754</v>
      </c>
      <c r="E36" s="2">
        <v>1300</v>
      </c>
      <c r="F36" s="2">
        <v>137</v>
      </c>
      <c r="G36" s="9">
        <v>0.89</v>
      </c>
      <c r="H36" s="4">
        <v>2.4</v>
      </c>
      <c r="I36" s="4" t="s">
        <v>18</v>
      </c>
      <c r="J36" s="4" t="s">
        <v>725</v>
      </c>
      <c r="K36" s="4" t="s">
        <v>737</v>
      </c>
      <c r="L36" s="4" t="s">
        <v>89</v>
      </c>
      <c r="M36" s="11" t="s">
        <v>949</v>
      </c>
      <c r="Q36" s="4" t="s">
        <v>47</v>
      </c>
      <c r="R36" t="str">
        <f t="shared" si="0"/>
        <v>Air purifier plant</v>
      </c>
      <c r="U36" t="s">
        <v>742</v>
      </c>
      <c r="V36" s="4">
        <v>35</v>
      </c>
      <c r="W36" s="4" t="s">
        <v>88</v>
      </c>
      <c r="X36" s="4" t="str">
        <f t="shared" si="1"/>
        <v>35</v>
      </c>
      <c r="Y36" s="4" t="str">
        <f t="shared" si="2"/>
        <v>35</v>
      </c>
      <c r="Z36" s="4" t="str">
        <f t="shared" si="3"/>
        <v>1754309658</v>
      </c>
    </row>
    <row r="37" spans="1:26" x14ac:dyDescent="0.3">
      <c r="A37" s="4">
        <v>1754309661</v>
      </c>
      <c r="B37" s="4">
        <v>36</v>
      </c>
      <c r="C37" s="4" t="s">
        <v>91</v>
      </c>
      <c r="D37" s="4" t="s">
        <v>764</v>
      </c>
      <c r="E37" s="2">
        <v>399</v>
      </c>
      <c r="F37" s="2">
        <v>135</v>
      </c>
      <c r="G37" s="9">
        <v>0.66</v>
      </c>
      <c r="H37" s="4">
        <v>4</v>
      </c>
      <c r="I37" s="4" t="s">
        <v>13</v>
      </c>
      <c r="J37" s="4" t="s">
        <v>723</v>
      </c>
      <c r="K37" s="4" t="s">
        <v>732</v>
      </c>
      <c r="L37" s="4" t="s">
        <v>92</v>
      </c>
      <c r="M37" s="11" t="s">
        <v>949</v>
      </c>
      <c r="Q37" s="4" t="s">
        <v>28</v>
      </c>
      <c r="R37" t="str">
        <f t="shared" si="0"/>
        <v>Herb</v>
      </c>
      <c r="U37" t="s">
        <v>742</v>
      </c>
      <c r="V37" s="4">
        <v>36</v>
      </c>
      <c r="W37" s="4" t="s">
        <v>90</v>
      </c>
      <c r="X37" s="4" t="str">
        <f t="shared" si="1"/>
        <v>36</v>
      </c>
      <c r="Y37" s="4" t="str">
        <f t="shared" si="2"/>
        <v>36</v>
      </c>
      <c r="Z37" s="4" t="str">
        <f t="shared" si="3"/>
        <v>1754309661</v>
      </c>
    </row>
    <row r="38" spans="1:26" x14ac:dyDescent="0.3">
      <c r="A38" s="4">
        <v>1754309663</v>
      </c>
      <c r="B38" s="4">
        <v>37</v>
      </c>
      <c r="C38" s="4" t="s">
        <v>94</v>
      </c>
      <c r="D38" s="4" t="s">
        <v>765</v>
      </c>
      <c r="E38" s="2">
        <v>399</v>
      </c>
      <c r="F38" s="2">
        <v>200</v>
      </c>
      <c r="G38" s="9">
        <v>0.49</v>
      </c>
      <c r="H38" s="4">
        <v>4</v>
      </c>
      <c r="I38" s="4" t="s">
        <v>18</v>
      </c>
      <c r="J38" s="4" t="s">
        <v>723</v>
      </c>
      <c r="K38" s="4" t="s">
        <v>737</v>
      </c>
      <c r="L38" s="4" t="s">
        <v>95</v>
      </c>
      <c r="M38" s="11" t="s">
        <v>949</v>
      </c>
      <c r="Q38" s="4" t="s">
        <v>28</v>
      </c>
      <c r="R38" t="str">
        <f t="shared" si="0"/>
        <v>Herb</v>
      </c>
      <c r="U38" t="s">
        <v>742</v>
      </c>
      <c r="V38" s="4">
        <v>37</v>
      </c>
      <c r="W38" s="4" t="s">
        <v>93</v>
      </c>
      <c r="X38" s="4" t="str">
        <f t="shared" si="1"/>
        <v>37</v>
      </c>
      <c r="Y38" s="4" t="str">
        <f t="shared" si="2"/>
        <v>37</v>
      </c>
      <c r="Z38" s="4" t="str">
        <f t="shared" si="3"/>
        <v>1754309663</v>
      </c>
    </row>
    <row r="39" spans="1:26" x14ac:dyDescent="0.3">
      <c r="A39" s="4">
        <v>1754309666</v>
      </c>
      <c r="B39" s="4">
        <v>38</v>
      </c>
      <c r="C39" s="4" t="s">
        <v>97</v>
      </c>
      <c r="D39" s="4" t="s">
        <v>766</v>
      </c>
      <c r="E39" s="2">
        <v>369</v>
      </c>
      <c r="F39" s="2">
        <v>215</v>
      </c>
      <c r="G39" s="9">
        <v>0.41</v>
      </c>
      <c r="H39" s="4">
        <v>4</v>
      </c>
      <c r="I39" s="4" t="s">
        <v>18</v>
      </c>
      <c r="J39" s="4" t="s">
        <v>724</v>
      </c>
      <c r="K39" s="4" t="s">
        <v>733</v>
      </c>
      <c r="L39" s="4" t="s">
        <v>98</v>
      </c>
      <c r="M39" s="11" t="s">
        <v>949</v>
      </c>
      <c r="Q39" s="4" t="s">
        <v>41</v>
      </c>
      <c r="R39" t="str">
        <f t="shared" si="0"/>
        <v>Succulent</v>
      </c>
      <c r="U39" t="s">
        <v>742</v>
      </c>
      <c r="V39" s="4">
        <v>38</v>
      </c>
      <c r="W39" s="4" t="s">
        <v>96</v>
      </c>
      <c r="X39" s="4" t="str">
        <f t="shared" si="1"/>
        <v>38</v>
      </c>
      <c r="Y39" s="4" t="str">
        <f t="shared" si="2"/>
        <v>38</v>
      </c>
      <c r="Z39" s="4" t="str">
        <f t="shared" si="3"/>
        <v>1754309666</v>
      </c>
    </row>
    <row r="40" spans="1:26" x14ac:dyDescent="0.3">
      <c r="A40" s="4">
        <v>1754309668</v>
      </c>
      <c r="B40" s="4">
        <v>39</v>
      </c>
      <c r="C40" s="4" t="s">
        <v>40</v>
      </c>
      <c r="D40" s="4" t="s">
        <v>752</v>
      </c>
      <c r="E40" s="2">
        <v>495</v>
      </c>
      <c r="F40" s="2">
        <v>331</v>
      </c>
      <c r="G40" s="9">
        <v>0.33</v>
      </c>
      <c r="H40" s="4">
        <v>4.0999999999999996</v>
      </c>
      <c r="I40" s="4" t="s">
        <v>18</v>
      </c>
      <c r="J40" s="4" t="s">
        <v>724</v>
      </c>
      <c r="K40" s="4" t="s">
        <v>733</v>
      </c>
      <c r="L40" s="4" t="s">
        <v>23</v>
      </c>
      <c r="M40" s="11" t="s">
        <v>949</v>
      </c>
      <c r="Q40" s="4" t="s">
        <v>41</v>
      </c>
      <c r="R40" t="str">
        <f t="shared" si="0"/>
        <v>Succulent</v>
      </c>
      <c r="U40" t="s">
        <v>742</v>
      </c>
      <c r="V40" s="4">
        <v>39</v>
      </c>
      <c r="W40" s="4" t="s">
        <v>99</v>
      </c>
      <c r="X40" s="4" t="str">
        <f t="shared" si="1"/>
        <v>39</v>
      </c>
      <c r="Y40" s="4" t="str">
        <f t="shared" si="2"/>
        <v>39</v>
      </c>
      <c r="Z40" s="4" t="str">
        <f t="shared" si="3"/>
        <v>1754309668</v>
      </c>
    </row>
    <row r="41" spans="1:26" x14ac:dyDescent="0.3">
      <c r="A41" s="4">
        <v>1754309671</v>
      </c>
      <c r="B41" s="4">
        <v>40</v>
      </c>
      <c r="C41" s="4" t="s">
        <v>40</v>
      </c>
      <c r="D41" s="4" t="s">
        <v>752</v>
      </c>
      <c r="E41" s="2">
        <v>349</v>
      </c>
      <c r="F41" s="2">
        <v>325</v>
      </c>
      <c r="G41" s="9">
        <v>0.06</v>
      </c>
      <c r="H41" s="4">
        <v>4</v>
      </c>
      <c r="I41" s="4" t="s">
        <v>18</v>
      </c>
      <c r="J41" s="4" t="s">
        <v>724</v>
      </c>
      <c r="K41" s="4" t="s">
        <v>733</v>
      </c>
      <c r="L41" s="4" t="s">
        <v>23</v>
      </c>
      <c r="M41" s="11" t="s">
        <v>949</v>
      </c>
      <c r="Q41" s="4" t="s">
        <v>41</v>
      </c>
      <c r="R41" t="str">
        <f t="shared" si="0"/>
        <v>Succulent</v>
      </c>
      <c r="U41" t="s">
        <v>746</v>
      </c>
      <c r="V41" s="4">
        <v>40</v>
      </c>
      <c r="W41" s="4" t="s">
        <v>100</v>
      </c>
      <c r="X41" s="4" t="str">
        <f t="shared" si="1"/>
        <v>40</v>
      </c>
      <c r="Y41" s="4" t="str">
        <f t="shared" si="2"/>
        <v>40</v>
      </c>
      <c r="Z41" s="4" t="str">
        <f t="shared" si="3"/>
        <v>1754309671</v>
      </c>
    </row>
    <row r="42" spans="1:26" x14ac:dyDescent="0.3">
      <c r="A42" s="4">
        <v>1754309676</v>
      </c>
      <c r="B42" s="4">
        <v>41</v>
      </c>
      <c r="C42" s="4" t="s">
        <v>102</v>
      </c>
      <c r="D42" s="4" t="s">
        <v>767</v>
      </c>
      <c r="E42" s="2">
        <v>499</v>
      </c>
      <c r="F42" s="2">
        <v>145</v>
      </c>
      <c r="G42" s="9">
        <v>0.7</v>
      </c>
      <c r="H42" s="4">
        <v>4</v>
      </c>
      <c r="I42" s="4" t="s">
        <v>13</v>
      </c>
      <c r="J42" s="4" t="s">
        <v>728</v>
      </c>
      <c r="K42" s="4" t="s">
        <v>732</v>
      </c>
      <c r="L42" s="4" t="s">
        <v>29</v>
      </c>
      <c r="M42" s="11" t="s">
        <v>949</v>
      </c>
      <c r="Q42" s="4" t="s">
        <v>68</v>
      </c>
      <c r="R42" t="str">
        <f t="shared" si="0"/>
        <v>Fruit</v>
      </c>
      <c r="U42" t="s">
        <v>742</v>
      </c>
      <c r="V42" s="4">
        <v>41</v>
      </c>
      <c r="W42" s="4" t="s">
        <v>101</v>
      </c>
      <c r="X42" s="4" t="str">
        <f t="shared" si="1"/>
        <v>41</v>
      </c>
      <c r="Y42" s="4" t="str">
        <f t="shared" si="2"/>
        <v>41</v>
      </c>
      <c r="Z42" s="4" t="str">
        <f t="shared" si="3"/>
        <v>1754309676</v>
      </c>
    </row>
    <row r="43" spans="1:26" x14ac:dyDescent="0.3">
      <c r="A43" s="4">
        <v>1754309678</v>
      </c>
      <c r="B43" s="4">
        <v>42</v>
      </c>
      <c r="C43" s="4" t="s">
        <v>104</v>
      </c>
      <c r="D43" s="4" t="s">
        <v>768</v>
      </c>
      <c r="E43" s="2">
        <v>1999</v>
      </c>
      <c r="F43" s="2">
        <v>1011</v>
      </c>
      <c r="G43" s="9">
        <v>0.49</v>
      </c>
      <c r="H43" s="4">
        <v>4.2</v>
      </c>
      <c r="I43" s="4" t="s">
        <v>18</v>
      </c>
      <c r="J43" s="4" t="s">
        <v>725</v>
      </c>
      <c r="K43" s="4" t="s">
        <v>733</v>
      </c>
      <c r="L43" s="4" t="s">
        <v>23</v>
      </c>
      <c r="M43" s="11" t="s">
        <v>949</v>
      </c>
      <c r="Q43" s="4" t="s">
        <v>47</v>
      </c>
      <c r="R43" t="str">
        <f t="shared" si="0"/>
        <v>Air purifier plant</v>
      </c>
      <c r="U43" t="s">
        <v>769</v>
      </c>
      <c r="V43" s="4">
        <v>42</v>
      </c>
      <c r="W43" s="4" t="s">
        <v>103</v>
      </c>
      <c r="X43" s="4" t="str">
        <f t="shared" si="1"/>
        <v>42</v>
      </c>
      <c r="Y43" s="4" t="str">
        <f t="shared" si="2"/>
        <v>42</v>
      </c>
      <c r="Z43" s="4" t="str">
        <f t="shared" si="3"/>
        <v>1754309678</v>
      </c>
    </row>
    <row r="44" spans="1:26" x14ac:dyDescent="0.3">
      <c r="A44" s="4">
        <v>1754309681</v>
      </c>
      <c r="B44" s="4">
        <v>43</v>
      </c>
      <c r="C44" s="4" t="s">
        <v>21</v>
      </c>
      <c r="D44" s="4" t="s">
        <v>745</v>
      </c>
      <c r="E44" s="2">
        <v>449</v>
      </c>
      <c r="F44" s="2">
        <v>384</v>
      </c>
      <c r="G44" s="9">
        <v>0.14000000000000001</v>
      </c>
      <c r="H44" s="4">
        <v>4.4000000000000004</v>
      </c>
      <c r="I44" s="4" t="s">
        <v>18</v>
      </c>
      <c r="J44" s="4" t="s">
        <v>722</v>
      </c>
      <c r="K44" s="4" t="s">
        <v>733</v>
      </c>
      <c r="L44" s="4" t="s">
        <v>23</v>
      </c>
      <c r="M44" s="11" t="s">
        <v>949</v>
      </c>
      <c r="Q44" s="4" t="s">
        <v>22</v>
      </c>
      <c r="R44" t="str">
        <f t="shared" si="0"/>
        <v>Shrub</v>
      </c>
      <c r="U44" t="s">
        <v>746</v>
      </c>
      <c r="V44" s="4">
        <v>43</v>
      </c>
      <c r="W44" s="4" t="s">
        <v>105</v>
      </c>
      <c r="X44" s="4" t="str">
        <f t="shared" si="1"/>
        <v>43</v>
      </c>
      <c r="Y44" s="4" t="str">
        <f t="shared" si="2"/>
        <v>43</v>
      </c>
      <c r="Z44" s="4" t="str">
        <f t="shared" si="3"/>
        <v>1754309681</v>
      </c>
    </row>
    <row r="45" spans="1:26" x14ac:dyDescent="0.3">
      <c r="A45" s="4">
        <v>1754309684</v>
      </c>
      <c r="B45" s="4">
        <v>44</v>
      </c>
      <c r="C45" s="4" t="s">
        <v>25</v>
      </c>
      <c r="D45" s="4" t="s">
        <v>747</v>
      </c>
      <c r="E45" s="2">
        <v>449</v>
      </c>
      <c r="F45" s="2">
        <v>349</v>
      </c>
      <c r="G45" s="9">
        <v>0.22</v>
      </c>
      <c r="H45" s="4">
        <v>4.3</v>
      </c>
      <c r="I45" s="4" t="s">
        <v>18</v>
      </c>
      <c r="J45" s="4" t="s">
        <v>722</v>
      </c>
      <c r="K45" s="4" t="s">
        <v>733</v>
      </c>
      <c r="L45" s="4" t="s">
        <v>23</v>
      </c>
      <c r="M45" s="11" t="s">
        <v>949</v>
      </c>
      <c r="Q45" s="4" t="s">
        <v>22</v>
      </c>
      <c r="R45" t="str">
        <f t="shared" si="0"/>
        <v>Shrub</v>
      </c>
      <c r="U45" t="s">
        <v>746</v>
      </c>
      <c r="V45" s="4">
        <v>44</v>
      </c>
      <c r="W45" s="4" t="s">
        <v>106</v>
      </c>
      <c r="X45" s="4" t="str">
        <f t="shared" si="1"/>
        <v>44</v>
      </c>
      <c r="Y45" s="4" t="str">
        <f t="shared" si="2"/>
        <v>44</v>
      </c>
      <c r="Z45" s="4" t="str">
        <f t="shared" si="3"/>
        <v>1754309684</v>
      </c>
    </row>
    <row r="46" spans="1:26" x14ac:dyDescent="0.3">
      <c r="A46" s="4">
        <v>1754309686</v>
      </c>
      <c r="B46" s="4">
        <v>45</v>
      </c>
      <c r="C46" s="4" t="s">
        <v>108</v>
      </c>
      <c r="D46" s="4" t="s">
        <v>770</v>
      </c>
      <c r="E46" s="2">
        <v>351</v>
      </c>
      <c r="F46" s="2">
        <v>198</v>
      </c>
      <c r="G46" s="9">
        <v>0.43</v>
      </c>
      <c r="H46" s="4">
        <v>4</v>
      </c>
      <c r="I46" s="4" t="s">
        <v>18</v>
      </c>
      <c r="J46" s="4" t="s">
        <v>721</v>
      </c>
      <c r="K46" s="4" t="s">
        <v>733</v>
      </c>
      <c r="L46" s="4" t="s">
        <v>15</v>
      </c>
      <c r="M46" s="11" t="s">
        <v>949</v>
      </c>
      <c r="Q46" s="4" t="s">
        <v>14</v>
      </c>
      <c r="R46" t="str">
        <f t="shared" si="0"/>
        <v>Bonsai</v>
      </c>
      <c r="U46" t="s">
        <v>742</v>
      </c>
      <c r="V46" s="4">
        <v>45</v>
      </c>
      <c r="W46" s="4" t="s">
        <v>107</v>
      </c>
      <c r="X46" s="4" t="str">
        <f t="shared" si="1"/>
        <v>45</v>
      </c>
      <c r="Y46" s="4" t="str">
        <f t="shared" si="2"/>
        <v>45</v>
      </c>
      <c r="Z46" s="4" t="str">
        <f t="shared" si="3"/>
        <v>1754309686</v>
      </c>
    </row>
    <row r="47" spans="1:26" x14ac:dyDescent="0.3">
      <c r="A47" s="4">
        <v>1754309689</v>
      </c>
      <c r="B47" s="4">
        <v>46</v>
      </c>
      <c r="C47" s="4" t="s">
        <v>110</v>
      </c>
      <c r="D47" s="4" t="s">
        <v>771</v>
      </c>
      <c r="E47" s="2">
        <v>499</v>
      </c>
      <c r="F47" s="2">
        <v>149</v>
      </c>
      <c r="G47" s="9">
        <v>0.7</v>
      </c>
      <c r="H47" s="4">
        <v>2.2000000000000002</v>
      </c>
      <c r="I47" s="4" t="s">
        <v>18</v>
      </c>
      <c r="J47" s="4" t="s">
        <v>721</v>
      </c>
      <c r="K47" s="4" t="s">
        <v>733</v>
      </c>
      <c r="L47" s="4" t="s">
        <v>111</v>
      </c>
      <c r="M47" s="11" t="s">
        <v>949</v>
      </c>
      <c r="Q47" s="4" t="s">
        <v>14</v>
      </c>
      <c r="R47" t="str">
        <f t="shared" si="0"/>
        <v>Bonsai</v>
      </c>
      <c r="U47" t="s">
        <v>742</v>
      </c>
      <c r="V47" s="4">
        <v>46</v>
      </c>
      <c r="W47" s="4" t="s">
        <v>109</v>
      </c>
      <c r="X47" s="4" t="str">
        <f t="shared" si="1"/>
        <v>46</v>
      </c>
      <c r="Y47" s="4" t="str">
        <f t="shared" si="2"/>
        <v>46</v>
      </c>
      <c r="Z47" s="4" t="str">
        <f t="shared" si="3"/>
        <v>1754309689</v>
      </c>
    </row>
    <row r="48" spans="1:26" x14ac:dyDescent="0.3">
      <c r="A48" s="4">
        <v>1754309691</v>
      </c>
      <c r="B48" s="4">
        <v>47</v>
      </c>
      <c r="C48" s="4" t="s">
        <v>113</v>
      </c>
      <c r="D48" s="4" t="s">
        <v>772</v>
      </c>
      <c r="E48" s="2">
        <v>799</v>
      </c>
      <c r="F48" s="2">
        <v>454</v>
      </c>
      <c r="G48" s="9">
        <v>0.43</v>
      </c>
      <c r="H48" s="4">
        <v>4.2</v>
      </c>
      <c r="I48" s="4" t="s">
        <v>13</v>
      </c>
      <c r="J48" s="4" t="s">
        <v>727</v>
      </c>
      <c r="K48" s="4" t="s">
        <v>733</v>
      </c>
      <c r="L48" s="4" t="s">
        <v>23</v>
      </c>
      <c r="M48" s="11" t="s">
        <v>949</v>
      </c>
      <c r="Q48" s="4" t="s">
        <v>56</v>
      </c>
      <c r="R48" t="str">
        <f t="shared" si="0"/>
        <v>Bamboo</v>
      </c>
      <c r="U48" t="s">
        <v>742</v>
      </c>
      <c r="V48" s="4">
        <v>47</v>
      </c>
      <c r="W48" s="4" t="s">
        <v>112</v>
      </c>
      <c r="X48" s="4" t="str">
        <f t="shared" si="1"/>
        <v>47</v>
      </c>
      <c r="Y48" s="4" t="str">
        <f t="shared" si="2"/>
        <v>47</v>
      </c>
      <c r="Z48" s="4" t="str">
        <f t="shared" si="3"/>
        <v>1754309691</v>
      </c>
    </row>
    <row r="49" spans="1:26" x14ac:dyDescent="0.3">
      <c r="A49" s="4">
        <v>1754309694</v>
      </c>
      <c r="B49" s="4">
        <v>48</v>
      </c>
      <c r="C49" s="4" t="s">
        <v>17</v>
      </c>
      <c r="D49" s="4" t="s">
        <v>743</v>
      </c>
      <c r="E49" s="2">
        <v>299</v>
      </c>
      <c r="F49" s="2">
        <v>188</v>
      </c>
      <c r="G49" s="9">
        <v>0.37</v>
      </c>
      <c r="H49" s="4">
        <v>1.7</v>
      </c>
      <c r="I49" s="4" t="s">
        <v>18</v>
      </c>
      <c r="J49" s="4" t="s">
        <v>721</v>
      </c>
      <c r="K49" s="4" t="s">
        <v>737</v>
      </c>
      <c r="L49" s="4" t="s">
        <v>115</v>
      </c>
      <c r="M49" s="11" t="s">
        <v>949</v>
      </c>
      <c r="Q49" s="4" t="s">
        <v>14</v>
      </c>
      <c r="R49" t="str">
        <f t="shared" si="0"/>
        <v>Bonsai</v>
      </c>
      <c r="U49" t="s">
        <v>744</v>
      </c>
      <c r="V49" s="4">
        <v>48</v>
      </c>
      <c r="W49" s="4" t="s">
        <v>114</v>
      </c>
      <c r="X49" s="4" t="str">
        <f t="shared" si="1"/>
        <v>48</v>
      </c>
      <c r="Y49" s="4" t="str">
        <f t="shared" si="2"/>
        <v>48</v>
      </c>
      <c r="Z49" s="4" t="str">
        <f t="shared" si="3"/>
        <v>1754309694</v>
      </c>
    </row>
    <row r="50" spans="1:26" x14ac:dyDescent="0.3">
      <c r="A50" s="4">
        <v>1754309696</v>
      </c>
      <c r="B50" s="4">
        <v>49</v>
      </c>
      <c r="C50" s="4" t="s">
        <v>21</v>
      </c>
      <c r="D50" s="4" t="s">
        <v>745</v>
      </c>
      <c r="E50" s="2">
        <v>449</v>
      </c>
      <c r="F50" s="2">
        <v>384</v>
      </c>
      <c r="G50" s="9">
        <v>0.14000000000000001</v>
      </c>
      <c r="H50" s="4">
        <v>4.4000000000000004</v>
      </c>
      <c r="I50" s="4" t="s">
        <v>18</v>
      </c>
      <c r="J50" s="4" t="s">
        <v>722</v>
      </c>
      <c r="K50" s="4" t="s">
        <v>733</v>
      </c>
      <c r="L50" s="4" t="s">
        <v>23</v>
      </c>
      <c r="M50" s="11" t="s">
        <v>949</v>
      </c>
      <c r="Q50" s="4" t="s">
        <v>22</v>
      </c>
      <c r="R50" t="str">
        <f t="shared" si="0"/>
        <v>Shrub</v>
      </c>
      <c r="U50" t="s">
        <v>746</v>
      </c>
      <c r="V50" s="4">
        <v>49</v>
      </c>
      <c r="W50" s="4" t="s">
        <v>116</v>
      </c>
      <c r="X50" s="4" t="str">
        <f t="shared" si="1"/>
        <v>49</v>
      </c>
      <c r="Y50" s="4" t="str">
        <f t="shared" si="2"/>
        <v>49</v>
      </c>
      <c r="Z50" s="4" t="str">
        <f t="shared" si="3"/>
        <v>1754309696</v>
      </c>
    </row>
    <row r="51" spans="1:26" x14ac:dyDescent="0.3">
      <c r="A51" s="4">
        <v>1754309699</v>
      </c>
      <c r="B51" s="4">
        <v>50</v>
      </c>
      <c r="C51" s="4" t="s">
        <v>40</v>
      </c>
      <c r="D51" s="4" t="s">
        <v>752</v>
      </c>
      <c r="E51" s="2">
        <v>499</v>
      </c>
      <c r="F51" s="2">
        <v>335</v>
      </c>
      <c r="G51" s="9">
        <v>0.32</v>
      </c>
      <c r="H51" s="4">
        <v>4</v>
      </c>
      <c r="I51" s="4" t="s">
        <v>18</v>
      </c>
      <c r="J51" s="4" t="s">
        <v>724</v>
      </c>
      <c r="K51" s="4" t="s">
        <v>733</v>
      </c>
      <c r="L51" s="4" t="s">
        <v>23</v>
      </c>
      <c r="M51" s="11" t="s">
        <v>949</v>
      </c>
      <c r="Q51" s="4" t="s">
        <v>41</v>
      </c>
      <c r="R51" t="str">
        <f t="shared" si="0"/>
        <v>Succulent</v>
      </c>
      <c r="U51" t="s">
        <v>742</v>
      </c>
      <c r="V51" s="4">
        <v>50</v>
      </c>
      <c r="W51" s="4" t="s">
        <v>117</v>
      </c>
      <c r="X51" s="4" t="str">
        <f t="shared" si="1"/>
        <v>50</v>
      </c>
      <c r="Y51" s="4" t="str">
        <f t="shared" si="2"/>
        <v>50</v>
      </c>
      <c r="Z51" s="4" t="str">
        <f t="shared" si="3"/>
        <v>1754309699</v>
      </c>
    </row>
    <row r="52" spans="1:26" x14ac:dyDescent="0.3">
      <c r="A52" s="4">
        <v>1754309701</v>
      </c>
      <c r="B52" s="4">
        <v>51</v>
      </c>
      <c r="C52" s="4" t="s">
        <v>119</v>
      </c>
      <c r="D52" s="4" t="s">
        <v>773</v>
      </c>
      <c r="E52" s="2">
        <v>1482</v>
      </c>
      <c r="F52" s="2">
        <v>149</v>
      </c>
      <c r="G52" s="9">
        <v>0.89</v>
      </c>
      <c r="H52" s="4">
        <v>4</v>
      </c>
      <c r="I52" s="4" t="s">
        <v>18</v>
      </c>
      <c r="J52" s="4" t="s">
        <v>725</v>
      </c>
      <c r="K52" s="4" t="s">
        <v>737</v>
      </c>
      <c r="L52" s="4" t="s">
        <v>19</v>
      </c>
      <c r="M52" s="11" t="s">
        <v>949</v>
      </c>
      <c r="Q52" s="4" t="s">
        <v>47</v>
      </c>
      <c r="R52" t="str">
        <f t="shared" si="0"/>
        <v>Air purifier plant</v>
      </c>
      <c r="U52" t="s">
        <v>742</v>
      </c>
      <c r="V52" s="4">
        <v>51</v>
      </c>
      <c r="W52" s="4" t="s">
        <v>118</v>
      </c>
      <c r="X52" s="4" t="str">
        <f t="shared" si="1"/>
        <v>51</v>
      </c>
      <c r="Y52" s="4" t="str">
        <f t="shared" si="2"/>
        <v>51</v>
      </c>
      <c r="Z52" s="4" t="str">
        <f t="shared" si="3"/>
        <v>1754309701</v>
      </c>
    </row>
    <row r="53" spans="1:26" x14ac:dyDescent="0.3">
      <c r="A53" s="4">
        <v>1754309704</v>
      </c>
      <c r="B53" s="4">
        <v>52</v>
      </c>
      <c r="C53" s="4" t="s">
        <v>59</v>
      </c>
      <c r="D53" s="4" t="s">
        <v>757</v>
      </c>
      <c r="E53" s="2">
        <v>499</v>
      </c>
      <c r="F53" s="2">
        <v>132</v>
      </c>
      <c r="G53" s="9">
        <v>0.73</v>
      </c>
      <c r="H53" s="4">
        <v>4</v>
      </c>
      <c r="I53" s="4" t="s">
        <v>13</v>
      </c>
      <c r="J53" s="4" t="s">
        <v>723</v>
      </c>
      <c r="K53" s="4" t="s">
        <v>737</v>
      </c>
      <c r="L53" s="4" t="s">
        <v>121</v>
      </c>
      <c r="M53" s="11" t="s">
        <v>949</v>
      </c>
      <c r="Q53" s="4" t="s">
        <v>28</v>
      </c>
      <c r="R53" t="str">
        <f t="shared" si="0"/>
        <v>Herb</v>
      </c>
      <c r="U53" t="s">
        <v>742</v>
      </c>
      <c r="V53" s="4">
        <v>52</v>
      </c>
      <c r="W53" s="4" t="s">
        <v>120</v>
      </c>
      <c r="X53" s="4" t="str">
        <f t="shared" si="1"/>
        <v>52</v>
      </c>
      <c r="Y53" s="4" t="str">
        <f t="shared" si="2"/>
        <v>52</v>
      </c>
      <c r="Z53" s="4" t="str">
        <f t="shared" si="3"/>
        <v>1754309704</v>
      </c>
    </row>
    <row r="54" spans="1:26" x14ac:dyDescent="0.3">
      <c r="A54" s="4">
        <v>1754309706</v>
      </c>
      <c r="B54" s="4">
        <v>53</v>
      </c>
      <c r="C54" s="4" t="s">
        <v>40</v>
      </c>
      <c r="D54" s="4" t="s">
        <v>752</v>
      </c>
      <c r="E54" s="2">
        <v>749</v>
      </c>
      <c r="F54" s="2">
        <v>516</v>
      </c>
      <c r="G54" s="9">
        <v>0.31</v>
      </c>
      <c r="H54" s="4">
        <v>3.6</v>
      </c>
      <c r="I54" s="4" t="s">
        <v>18</v>
      </c>
      <c r="J54" s="4" t="s">
        <v>724</v>
      </c>
      <c r="K54" s="4" t="s">
        <v>733</v>
      </c>
      <c r="L54" s="4" t="s">
        <v>23</v>
      </c>
      <c r="M54" s="11" t="s">
        <v>949</v>
      </c>
      <c r="Q54" s="4" t="s">
        <v>41</v>
      </c>
      <c r="R54" t="str">
        <f t="shared" si="0"/>
        <v>Succulent</v>
      </c>
      <c r="U54" t="s">
        <v>742</v>
      </c>
      <c r="V54" s="4">
        <v>53</v>
      </c>
      <c r="W54" s="4" t="s">
        <v>122</v>
      </c>
      <c r="X54" s="4" t="str">
        <f t="shared" si="1"/>
        <v>53</v>
      </c>
      <c r="Y54" s="4" t="str">
        <f t="shared" si="2"/>
        <v>53</v>
      </c>
      <c r="Z54" s="4" t="str">
        <f t="shared" si="3"/>
        <v>1754309706</v>
      </c>
    </row>
    <row r="55" spans="1:26" x14ac:dyDescent="0.3">
      <c r="A55" s="4">
        <v>1754309709</v>
      </c>
      <c r="B55" s="4">
        <v>54</v>
      </c>
      <c r="C55" s="4" t="s">
        <v>50</v>
      </c>
      <c r="D55" s="4" t="s">
        <v>755</v>
      </c>
      <c r="E55" s="2">
        <v>549</v>
      </c>
      <c r="F55" s="2">
        <v>388</v>
      </c>
      <c r="G55" s="9">
        <v>0.28999999999999998</v>
      </c>
      <c r="H55" s="4">
        <v>4.3</v>
      </c>
      <c r="I55" s="4" t="s">
        <v>18</v>
      </c>
      <c r="J55" s="4" t="s">
        <v>726</v>
      </c>
      <c r="K55" s="4" t="s">
        <v>733</v>
      </c>
      <c r="L55" s="4" t="s">
        <v>23</v>
      </c>
      <c r="M55" s="11" t="s">
        <v>949</v>
      </c>
      <c r="Q55" s="4" t="s">
        <v>51</v>
      </c>
      <c r="R55" t="str">
        <f t="shared" si="0"/>
        <v>Foliage</v>
      </c>
      <c r="U55" t="s">
        <v>742</v>
      </c>
      <c r="V55" s="4">
        <v>54</v>
      </c>
      <c r="W55" s="4" t="s">
        <v>123</v>
      </c>
      <c r="X55" s="4" t="str">
        <f t="shared" si="1"/>
        <v>54</v>
      </c>
      <c r="Y55" s="4" t="str">
        <f t="shared" si="2"/>
        <v>54</v>
      </c>
      <c r="Z55" s="4" t="str">
        <f t="shared" si="3"/>
        <v>1754309709</v>
      </c>
    </row>
    <row r="56" spans="1:26" x14ac:dyDescent="0.3">
      <c r="A56" s="4">
        <v>1754309711</v>
      </c>
      <c r="B56" s="4">
        <v>55</v>
      </c>
      <c r="C56" s="4" t="s">
        <v>12</v>
      </c>
      <c r="D56" s="4" t="s">
        <v>741</v>
      </c>
      <c r="E56" s="2">
        <v>398</v>
      </c>
      <c r="F56" s="2">
        <v>216</v>
      </c>
      <c r="G56" s="9">
        <v>0.45</v>
      </c>
      <c r="H56" s="4">
        <v>4</v>
      </c>
      <c r="I56" s="4" t="s">
        <v>13</v>
      </c>
      <c r="J56" s="4" t="s">
        <v>723</v>
      </c>
      <c r="K56" s="4" t="s">
        <v>737</v>
      </c>
      <c r="L56" s="4" t="s">
        <v>15</v>
      </c>
      <c r="M56" s="11" t="s">
        <v>949</v>
      </c>
      <c r="Q56" s="4" t="s">
        <v>28</v>
      </c>
      <c r="R56" t="str">
        <f t="shared" si="0"/>
        <v>Herb</v>
      </c>
      <c r="U56" t="s">
        <v>742</v>
      </c>
      <c r="V56" s="4">
        <v>55</v>
      </c>
      <c r="W56" s="4" t="s">
        <v>124</v>
      </c>
      <c r="X56" s="4" t="str">
        <f t="shared" si="1"/>
        <v>55</v>
      </c>
      <c r="Y56" s="4" t="str">
        <f t="shared" si="2"/>
        <v>55</v>
      </c>
      <c r="Z56" s="4" t="str">
        <f t="shared" si="3"/>
        <v>1754309711</v>
      </c>
    </row>
    <row r="57" spans="1:26" x14ac:dyDescent="0.3">
      <c r="A57" s="4">
        <v>1754309713</v>
      </c>
      <c r="B57" s="4">
        <v>56</v>
      </c>
      <c r="C57" s="4" t="s">
        <v>126</v>
      </c>
      <c r="D57" s="4" t="s">
        <v>774</v>
      </c>
      <c r="E57" s="2">
        <v>499</v>
      </c>
      <c r="F57" s="2">
        <v>144</v>
      </c>
      <c r="G57" s="9">
        <v>0.71</v>
      </c>
      <c r="H57" s="4">
        <v>2.6</v>
      </c>
      <c r="I57" s="4" t="s">
        <v>13</v>
      </c>
      <c r="J57" s="4" t="s">
        <v>723</v>
      </c>
      <c r="K57" s="4" t="s">
        <v>732</v>
      </c>
      <c r="L57" s="4" t="s">
        <v>44</v>
      </c>
      <c r="M57" s="11" t="s">
        <v>949</v>
      </c>
      <c r="Q57" s="4" t="s">
        <v>28</v>
      </c>
      <c r="R57" t="str">
        <f t="shared" si="0"/>
        <v>Herb</v>
      </c>
      <c r="U57" t="s">
        <v>742</v>
      </c>
      <c r="V57" s="4">
        <v>56</v>
      </c>
      <c r="W57" s="4" t="s">
        <v>125</v>
      </c>
      <c r="X57" s="4" t="str">
        <f t="shared" si="1"/>
        <v>56</v>
      </c>
      <c r="Y57" s="4" t="str">
        <f t="shared" si="2"/>
        <v>56</v>
      </c>
      <c r="Z57" s="4" t="str">
        <f t="shared" si="3"/>
        <v>1754309713</v>
      </c>
    </row>
    <row r="58" spans="1:26" x14ac:dyDescent="0.3">
      <c r="A58" s="4">
        <v>1754309716</v>
      </c>
      <c r="B58" s="4">
        <v>57</v>
      </c>
      <c r="C58" s="4" t="s">
        <v>128</v>
      </c>
      <c r="D58" s="4" t="s">
        <v>775</v>
      </c>
      <c r="E58" s="2">
        <v>299</v>
      </c>
      <c r="F58" s="2">
        <v>145</v>
      </c>
      <c r="G58" s="9">
        <v>0.51</v>
      </c>
      <c r="H58" s="4">
        <v>1.7</v>
      </c>
      <c r="I58" s="4" t="s">
        <v>18</v>
      </c>
      <c r="J58" s="4" t="s">
        <v>721</v>
      </c>
      <c r="K58" s="4" t="s">
        <v>737</v>
      </c>
      <c r="L58" s="4" t="s">
        <v>29</v>
      </c>
      <c r="M58" s="11" t="s">
        <v>949</v>
      </c>
      <c r="Q58" s="4" t="s">
        <v>14</v>
      </c>
      <c r="R58" t="str">
        <f t="shared" si="0"/>
        <v>Bonsai</v>
      </c>
      <c r="U58" t="s">
        <v>742</v>
      </c>
      <c r="V58" s="4">
        <v>57</v>
      </c>
      <c r="W58" s="4" t="s">
        <v>127</v>
      </c>
      <c r="X58" s="4" t="str">
        <f t="shared" si="1"/>
        <v>57</v>
      </c>
      <c r="Y58" s="4" t="str">
        <f t="shared" si="2"/>
        <v>57</v>
      </c>
      <c r="Z58" s="4" t="str">
        <f t="shared" si="3"/>
        <v>1754309716</v>
      </c>
    </row>
    <row r="59" spans="1:26" x14ac:dyDescent="0.3">
      <c r="A59" s="4">
        <v>1754309719</v>
      </c>
      <c r="B59" s="4">
        <v>58</v>
      </c>
      <c r="C59" s="4" t="s">
        <v>130</v>
      </c>
      <c r="D59" s="4" t="s">
        <v>776</v>
      </c>
      <c r="E59" s="2">
        <v>399</v>
      </c>
      <c r="F59" s="2">
        <v>165</v>
      </c>
      <c r="G59" s="9">
        <v>0.57999999999999996</v>
      </c>
      <c r="H59" s="4">
        <v>4</v>
      </c>
      <c r="I59" s="4" t="s">
        <v>13</v>
      </c>
      <c r="J59" s="4" t="s">
        <v>727</v>
      </c>
      <c r="K59" s="4" t="s">
        <v>737</v>
      </c>
      <c r="L59" s="4" t="s">
        <v>131</v>
      </c>
      <c r="M59" s="11" t="s">
        <v>949</v>
      </c>
      <c r="Q59" s="4" t="s">
        <v>56</v>
      </c>
      <c r="R59" t="str">
        <f t="shared" si="0"/>
        <v>Bamboo</v>
      </c>
      <c r="U59" t="s">
        <v>742</v>
      </c>
      <c r="V59" s="4">
        <v>58</v>
      </c>
      <c r="W59" s="4" t="s">
        <v>129</v>
      </c>
      <c r="X59" s="4" t="str">
        <f t="shared" si="1"/>
        <v>58</v>
      </c>
      <c r="Y59" s="4" t="str">
        <f t="shared" si="2"/>
        <v>58</v>
      </c>
      <c r="Z59" s="4" t="str">
        <f t="shared" si="3"/>
        <v>1754309719</v>
      </c>
    </row>
    <row r="60" spans="1:26" x14ac:dyDescent="0.3">
      <c r="A60" s="4">
        <v>1754309721</v>
      </c>
      <c r="B60" s="4">
        <v>59</v>
      </c>
      <c r="C60" s="4" t="s">
        <v>25</v>
      </c>
      <c r="D60" s="4" t="s">
        <v>747</v>
      </c>
      <c r="E60" s="2">
        <v>449</v>
      </c>
      <c r="F60" s="2">
        <v>349</v>
      </c>
      <c r="G60" s="9">
        <v>0.22</v>
      </c>
      <c r="H60" s="4">
        <v>4.3</v>
      </c>
      <c r="I60" s="4" t="s">
        <v>18</v>
      </c>
      <c r="J60" s="4" t="s">
        <v>722</v>
      </c>
      <c r="K60" s="4" t="s">
        <v>733</v>
      </c>
      <c r="L60" s="4" t="s">
        <v>23</v>
      </c>
      <c r="M60" s="11" t="s">
        <v>949</v>
      </c>
      <c r="Q60" s="4" t="s">
        <v>22</v>
      </c>
      <c r="R60" t="str">
        <f t="shared" si="0"/>
        <v>Shrub</v>
      </c>
      <c r="U60" t="s">
        <v>746</v>
      </c>
      <c r="V60" s="4">
        <v>59</v>
      </c>
      <c r="W60" s="4" t="s">
        <v>132</v>
      </c>
      <c r="X60" s="4" t="str">
        <f t="shared" si="1"/>
        <v>59</v>
      </c>
      <c r="Y60" s="4" t="str">
        <f t="shared" si="2"/>
        <v>59</v>
      </c>
      <c r="Z60" s="4" t="str">
        <f t="shared" si="3"/>
        <v>1754309721</v>
      </c>
    </row>
    <row r="61" spans="1:26" x14ac:dyDescent="0.3">
      <c r="A61" s="4">
        <v>1754309724</v>
      </c>
      <c r="B61" s="4">
        <v>60</v>
      </c>
      <c r="C61" s="4" t="s">
        <v>25</v>
      </c>
      <c r="D61" s="4" t="s">
        <v>747</v>
      </c>
      <c r="E61" s="2">
        <v>449</v>
      </c>
      <c r="F61" s="2">
        <v>349</v>
      </c>
      <c r="G61" s="9">
        <v>0.22</v>
      </c>
      <c r="H61" s="4">
        <v>4.3</v>
      </c>
      <c r="I61" s="4" t="s">
        <v>18</v>
      </c>
      <c r="J61" s="4" t="s">
        <v>722</v>
      </c>
      <c r="K61" s="4" t="s">
        <v>733</v>
      </c>
      <c r="L61" s="4" t="s">
        <v>23</v>
      </c>
      <c r="M61" s="11" t="s">
        <v>949</v>
      </c>
      <c r="Q61" s="4" t="s">
        <v>22</v>
      </c>
      <c r="R61" t="str">
        <f t="shared" si="0"/>
        <v>Shrub</v>
      </c>
      <c r="U61" t="s">
        <v>746</v>
      </c>
      <c r="V61" s="4">
        <v>60</v>
      </c>
      <c r="W61" s="4" t="s">
        <v>133</v>
      </c>
      <c r="X61" s="4" t="str">
        <f t="shared" si="1"/>
        <v>60</v>
      </c>
      <c r="Y61" s="4" t="str">
        <f t="shared" si="2"/>
        <v>60</v>
      </c>
      <c r="Z61" s="4" t="str">
        <f t="shared" si="3"/>
        <v>1754309724</v>
      </c>
    </row>
    <row r="62" spans="1:26" x14ac:dyDescent="0.3">
      <c r="A62" s="4">
        <v>1754309726</v>
      </c>
      <c r="B62" s="4">
        <v>61</v>
      </c>
      <c r="C62" s="4" t="s">
        <v>135</v>
      </c>
      <c r="D62" s="4" t="s">
        <v>777</v>
      </c>
      <c r="E62" s="2">
        <v>367</v>
      </c>
      <c r="F62" s="2">
        <v>189</v>
      </c>
      <c r="G62" s="9">
        <v>0.48</v>
      </c>
      <c r="H62" s="4">
        <v>4</v>
      </c>
      <c r="I62" s="4" t="s">
        <v>13</v>
      </c>
      <c r="J62" s="4" t="s">
        <v>723</v>
      </c>
      <c r="K62" s="4" t="s">
        <v>737</v>
      </c>
      <c r="L62" s="4" t="s">
        <v>15</v>
      </c>
      <c r="M62" s="11" t="s">
        <v>949</v>
      </c>
      <c r="Q62" s="4" t="s">
        <v>28</v>
      </c>
      <c r="R62" t="str">
        <f t="shared" si="0"/>
        <v>Herb</v>
      </c>
      <c r="U62" t="s">
        <v>742</v>
      </c>
      <c r="V62" s="4">
        <v>61</v>
      </c>
      <c r="W62" s="4" t="s">
        <v>134</v>
      </c>
      <c r="X62" s="4" t="str">
        <f t="shared" si="1"/>
        <v>61</v>
      </c>
      <c r="Y62" s="4" t="str">
        <f t="shared" si="2"/>
        <v>61</v>
      </c>
      <c r="Z62" s="4" t="str">
        <f t="shared" si="3"/>
        <v>1754309726</v>
      </c>
    </row>
    <row r="63" spans="1:26" x14ac:dyDescent="0.3">
      <c r="A63" s="4">
        <v>1754309729</v>
      </c>
      <c r="B63" s="4">
        <v>62</v>
      </c>
      <c r="C63" s="4" t="s">
        <v>46</v>
      </c>
      <c r="D63" s="4" t="s">
        <v>754</v>
      </c>
      <c r="E63" s="2">
        <v>1250</v>
      </c>
      <c r="F63" s="2">
        <v>149</v>
      </c>
      <c r="G63" s="9">
        <v>0.88</v>
      </c>
      <c r="H63" s="4">
        <v>4</v>
      </c>
      <c r="I63" s="4" t="s">
        <v>18</v>
      </c>
      <c r="J63" s="4" t="s">
        <v>725</v>
      </c>
      <c r="K63" s="4" t="s">
        <v>737</v>
      </c>
      <c r="L63" s="4" t="s">
        <v>137</v>
      </c>
      <c r="M63" s="11" t="s">
        <v>949</v>
      </c>
      <c r="Q63" s="4" t="s">
        <v>47</v>
      </c>
      <c r="R63" t="str">
        <f t="shared" si="0"/>
        <v>Air purifier plant</v>
      </c>
      <c r="U63" t="s">
        <v>742</v>
      </c>
      <c r="V63" s="4">
        <v>62</v>
      </c>
      <c r="W63" s="4" t="s">
        <v>136</v>
      </c>
      <c r="X63" s="4" t="str">
        <f t="shared" si="1"/>
        <v>62</v>
      </c>
      <c r="Y63" s="4" t="str">
        <f t="shared" si="2"/>
        <v>62</v>
      </c>
      <c r="Z63" s="4" t="str">
        <f t="shared" si="3"/>
        <v>1754309729</v>
      </c>
    </row>
    <row r="64" spans="1:26" x14ac:dyDescent="0.3">
      <c r="A64" s="4">
        <v>1754309731</v>
      </c>
      <c r="B64" s="4">
        <v>63</v>
      </c>
      <c r="C64" s="4" t="s">
        <v>40</v>
      </c>
      <c r="D64" s="4" t="s">
        <v>752</v>
      </c>
      <c r="E64" s="2">
        <v>499</v>
      </c>
      <c r="F64" s="2">
        <v>424</v>
      </c>
      <c r="G64" s="9">
        <v>0.15</v>
      </c>
      <c r="H64" s="4">
        <v>4.3</v>
      </c>
      <c r="I64" s="4" t="s">
        <v>18</v>
      </c>
      <c r="J64" s="4" t="s">
        <v>724</v>
      </c>
      <c r="K64" s="4" t="s">
        <v>733</v>
      </c>
      <c r="L64" s="4" t="s">
        <v>23</v>
      </c>
      <c r="M64" s="11" t="s">
        <v>949</v>
      </c>
      <c r="Q64" s="4" t="s">
        <v>41</v>
      </c>
      <c r="R64" t="str">
        <f t="shared" si="0"/>
        <v>Succulent</v>
      </c>
      <c r="U64" t="s">
        <v>742</v>
      </c>
      <c r="V64" s="4">
        <v>63</v>
      </c>
      <c r="W64" s="4" t="s">
        <v>138</v>
      </c>
      <c r="X64" s="4" t="str">
        <f t="shared" si="1"/>
        <v>63</v>
      </c>
      <c r="Y64" s="4" t="str">
        <f t="shared" si="2"/>
        <v>63</v>
      </c>
      <c r="Z64" s="4" t="str">
        <f t="shared" si="3"/>
        <v>1754309731</v>
      </c>
    </row>
    <row r="65" spans="1:26" x14ac:dyDescent="0.3">
      <c r="A65" s="4">
        <v>1754309734</v>
      </c>
      <c r="B65" s="4">
        <v>64</v>
      </c>
      <c r="C65" s="4" t="s">
        <v>21</v>
      </c>
      <c r="D65" s="4" t="s">
        <v>745</v>
      </c>
      <c r="E65" s="2">
        <v>449</v>
      </c>
      <c r="F65" s="2">
        <v>359</v>
      </c>
      <c r="G65" s="9">
        <v>0.2</v>
      </c>
      <c r="H65" s="4">
        <v>4.4000000000000004</v>
      </c>
      <c r="I65" s="4" t="s">
        <v>18</v>
      </c>
      <c r="J65" s="4" t="s">
        <v>722</v>
      </c>
      <c r="K65" s="4" t="s">
        <v>733</v>
      </c>
      <c r="L65" s="4" t="s">
        <v>23</v>
      </c>
      <c r="M65" s="11" t="s">
        <v>949</v>
      </c>
      <c r="Q65" s="4" t="s">
        <v>22</v>
      </c>
      <c r="R65" t="str">
        <f t="shared" si="0"/>
        <v>Shrub</v>
      </c>
      <c r="U65" t="s">
        <v>746</v>
      </c>
      <c r="V65" s="4">
        <v>64</v>
      </c>
      <c r="W65" s="4" t="s">
        <v>139</v>
      </c>
      <c r="X65" s="4" t="str">
        <f t="shared" si="1"/>
        <v>64</v>
      </c>
      <c r="Y65" s="4" t="str">
        <f t="shared" si="2"/>
        <v>64</v>
      </c>
      <c r="Z65" s="4" t="str">
        <f t="shared" si="3"/>
        <v>1754309734</v>
      </c>
    </row>
    <row r="66" spans="1:26" x14ac:dyDescent="0.3">
      <c r="A66" s="4">
        <v>1754309736</v>
      </c>
      <c r="B66" s="4">
        <v>65</v>
      </c>
      <c r="C66" s="4" t="s">
        <v>130</v>
      </c>
      <c r="D66" s="4" t="s">
        <v>776</v>
      </c>
      <c r="E66" s="2">
        <v>299</v>
      </c>
      <c r="F66" s="2">
        <v>149</v>
      </c>
      <c r="G66" s="9">
        <v>0.5</v>
      </c>
      <c r="H66" s="4">
        <v>4</v>
      </c>
      <c r="I66" s="4" t="s">
        <v>13</v>
      </c>
      <c r="J66" s="4" t="s">
        <v>727</v>
      </c>
      <c r="K66" s="4" t="s">
        <v>737</v>
      </c>
      <c r="L66" s="4" t="s">
        <v>141</v>
      </c>
      <c r="M66" s="11" t="s">
        <v>949</v>
      </c>
      <c r="Q66" s="4" t="s">
        <v>56</v>
      </c>
      <c r="R66" t="str">
        <f t="shared" si="0"/>
        <v>Bamboo</v>
      </c>
      <c r="U66" t="s">
        <v>742</v>
      </c>
      <c r="V66" s="4">
        <v>65</v>
      </c>
      <c r="W66" s="4" t="s">
        <v>140</v>
      </c>
      <c r="X66" s="4" t="str">
        <f t="shared" si="1"/>
        <v>65</v>
      </c>
      <c r="Y66" s="4" t="str">
        <f t="shared" si="2"/>
        <v>65</v>
      </c>
      <c r="Z66" s="4" t="str">
        <f t="shared" si="3"/>
        <v>1754309736</v>
      </c>
    </row>
    <row r="67" spans="1:26" x14ac:dyDescent="0.3">
      <c r="A67" s="4">
        <v>1754309739</v>
      </c>
      <c r="B67" s="4">
        <v>66</v>
      </c>
      <c r="C67" s="4" t="s">
        <v>143</v>
      </c>
      <c r="D67" s="4" t="s">
        <v>778</v>
      </c>
      <c r="E67" s="2">
        <v>370</v>
      </c>
      <c r="F67" s="2">
        <v>188</v>
      </c>
      <c r="G67" s="9">
        <v>0.49</v>
      </c>
      <c r="H67" s="4">
        <v>3</v>
      </c>
      <c r="I67" s="4" t="s">
        <v>18</v>
      </c>
      <c r="J67" s="4" t="s">
        <v>726</v>
      </c>
      <c r="K67" s="4" t="s">
        <v>733</v>
      </c>
      <c r="L67" s="4" t="s">
        <v>144</v>
      </c>
      <c r="M67" s="11" t="s">
        <v>949</v>
      </c>
      <c r="Q67" s="4" t="s">
        <v>51</v>
      </c>
      <c r="R67" t="str">
        <f t="shared" ref="R67:R130" si="4">RIGHT(Q67,LEN(Q67)-FIND(" ",Q67,1))</f>
        <v>Foliage</v>
      </c>
      <c r="U67" t="s">
        <v>742</v>
      </c>
      <c r="V67" s="4">
        <v>66</v>
      </c>
      <c r="W67" s="4" t="s">
        <v>142</v>
      </c>
      <c r="X67" s="4" t="str">
        <f t="shared" ref="X67:X130" si="5">RIGHT(W67,2)</f>
        <v>66</v>
      </c>
      <c r="Y67" s="4" t="str">
        <f t="shared" ref="Y67:Y130" si="6">RIGHT(W67,LEN(W67)-FIND("-",W67,1))</f>
        <v>66</v>
      </c>
      <c r="Z67" s="4" t="str">
        <f t="shared" ref="Z67:Z130" si="7">LEFT(W67,FIND("-",W67,1)-1)</f>
        <v>1754309739</v>
      </c>
    </row>
    <row r="68" spans="1:26" x14ac:dyDescent="0.3">
      <c r="A68" s="4">
        <v>1754309741</v>
      </c>
      <c r="B68" s="4">
        <v>67</v>
      </c>
      <c r="C68" s="4" t="s">
        <v>59</v>
      </c>
      <c r="D68" s="4" t="s">
        <v>757</v>
      </c>
      <c r="E68" s="2">
        <v>399</v>
      </c>
      <c r="F68" s="2">
        <v>135</v>
      </c>
      <c r="G68" s="9">
        <v>0.66</v>
      </c>
      <c r="H68" s="4">
        <v>4</v>
      </c>
      <c r="I68" s="4" t="s">
        <v>13</v>
      </c>
      <c r="J68" s="4" t="s">
        <v>723</v>
      </c>
      <c r="K68" s="4" t="s">
        <v>737</v>
      </c>
      <c r="L68" s="4" t="s">
        <v>44</v>
      </c>
      <c r="M68" s="11" t="s">
        <v>949</v>
      </c>
      <c r="Q68" s="4" t="s">
        <v>28</v>
      </c>
      <c r="R68" t="str">
        <f t="shared" si="4"/>
        <v>Herb</v>
      </c>
      <c r="U68" t="s">
        <v>742</v>
      </c>
      <c r="V68" s="4">
        <v>67</v>
      </c>
      <c r="W68" s="4" t="s">
        <v>145</v>
      </c>
      <c r="X68" s="4" t="str">
        <f t="shared" si="5"/>
        <v>67</v>
      </c>
      <c r="Y68" s="4" t="str">
        <f t="shared" si="6"/>
        <v>67</v>
      </c>
      <c r="Z68" s="4" t="str">
        <f t="shared" si="7"/>
        <v>1754309741</v>
      </c>
    </row>
    <row r="69" spans="1:26" x14ac:dyDescent="0.3">
      <c r="A69" s="4">
        <v>1754309743</v>
      </c>
      <c r="B69" s="4">
        <v>68</v>
      </c>
      <c r="C69" s="4" t="s">
        <v>147</v>
      </c>
      <c r="D69" s="4" t="s">
        <v>779</v>
      </c>
      <c r="E69" s="2">
        <v>199</v>
      </c>
      <c r="F69" s="2">
        <v>149</v>
      </c>
      <c r="G69" s="9">
        <v>0.25</v>
      </c>
      <c r="H69" s="4">
        <v>2.2000000000000002</v>
      </c>
      <c r="I69" s="4" t="s">
        <v>18</v>
      </c>
      <c r="J69" s="4" t="s">
        <v>721</v>
      </c>
      <c r="K69" s="4" t="s">
        <v>732</v>
      </c>
      <c r="L69" s="4" t="s">
        <v>84</v>
      </c>
      <c r="M69" s="11" t="s">
        <v>949</v>
      </c>
      <c r="Q69" s="4" t="s">
        <v>14</v>
      </c>
      <c r="R69" t="str">
        <f t="shared" si="4"/>
        <v>Bonsai</v>
      </c>
      <c r="U69" t="s">
        <v>742</v>
      </c>
      <c r="V69" s="4">
        <v>68</v>
      </c>
      <c r="W69" s="4" t="s">
        <v>146</v>
      </c>
      <c r="X69" s="4" t="str">
        <f t="shared" si="5"/>
        <v>68</v>
      </c>
      <c r="Y69" s="4" t="str">
        <f t="shared" si="6"/>
        <v>68</v>
      </c>
      <c r="Z69" s="4" t="str">
        <f t="shared" si="7"/>
        <v>1754309743</v>
      </c>
    </row>
    <row r="70" spans="1:26" x14ac:dyDescent="0.3">
      <c r="A70" s="4">
        <v>1754309746</v>
      </c>
      <c r="B70" s="4">
        <v>69</v>
      </c>
      <c r="C70" s="4" t="s">
        <v>40</v>
      </c>
      <c r="D70" s="4" t="s">
        <v>752</v>
      </c>
      <c r="E70" s="2">
        <v>449</v>
      </c>
      <c r="F70" s="2">
        <v>335</v>
      </c>
      <c r="G70" s="9">
        <v>0.25</v>
      </c>
      <c r="H70" s="4">
        <v>4</v>
      </c>
      <c r="I70" s="4" t="s">
        <v>18</v>
      </c>
      <c r="J70" s="4" t="s">
        <v>724</v>
      </c>
      <c r="K70" s="4" t="s">
        <v>733</v>
      </c>
      <c r="L70" s="4" t="s">
        <v>23</v>
      </c>
      <c r="M70" s="11" t="s">
        <v>949</v>
      </c>
      <c r="Q70" s="4" t="s">
        <v>41</v>
      </c>
      <c r="R70" t="str">
        <f t="shared" si="4"/>
        <v>Succulent</v>
      </c>
      <c r="U70" t="s">
        <v>742</v>
      </c>
      <c r="V70" s="4">
        <v>69</v>
      </c>
      <c r="W70" s="4" t="s">
        <v>148</v>
      </c>
      <c r="X70" s="4" t="str">
        <f t="shared" si="5"/>
        <v>69</v>
      </c>
      <c r="Y70" s="4" t="str">
        <f t="shared" si="6"/>
        <v>69</v>
      </c>
      <c r="Z70" s="4" t="str">
        <f t="shared" si="7"/>
        <v>1754309746</v>
      </c>
    </row>
    <row r="71" spans="1:26" x14ac:dyDescent="0.3">
      <c r="A71" s="4">
        <v>1754309748</v>
      </c>
      <c r="B71" s="4">
        <v>70</v>
      </c>
      <c r="C71" s="4" t="s">
        <v>40</v>
      </c>
      <c r="D71" s="4" t="s">
        <v>752</v>
      </c>
      <c r="E71" s="2">
        <v>499</v>
      </c>
      <c r="F71" s="2">
        <v>426</v>
      </c>
      <c r="G71" s="9">
        <v>0.14000000000000001</v>
      </c>
      <c r="H71" s="4">
        <v>4.2</v>
      </c>
      <c r="I71" s="4" t="s">
        <v>18</v>
      </c>
      <c r="J71" s="4" t="s">
        <v>724</v>
      </c>
      <c r="K71" s="4" t="s">
        <v>733</v>
      </c>
      <c r="L71" s="4" t="s">
        <v>23</v>
      </c>
      <c r="M71" s="11" t="s">
        <v>949</v>
      </c>
      <c r="Q71" s="4" t="s">
        <v>41</v>
      </c>
      <c r="R71" t="str">
        <f t="shared" si="4"/>
        <v>Succulent</v>
      </c>
      <c r="U71" t="s">
        <v>742</v>
      </c>
      <c r="V71" s="4">
        <v>70</v>
      </c>
      <c r="W71" s="4" t="s">
        <v>149</v>
      </c>
      <c r="X71" s="4" t="str">
        <f t="shared" si="5"/>
        <v>70</v>
      </c>
      <c r="Y71" s="4" t="str">
        <f t="shared" si="6"/>
        <v>70</v>
      </c>
      <c r="Z71" s="4" t="str">
        <f t="shared" si="7"/>
        <v>1754309748</v>
      </c>
    </row>
    <row r="72" spans="1:26" x14ac:dyDescent="0.3">
      <c r="A72" s="4">
        <v>1754309751</v>
      </c>
      <c r="B72" s="4">
        <v>71</v>
      </c>
      <c r="C72" s="4" t="s">
        <v>151</v>
      </c>
      <c r="D72" s="4" t="s">
        <v>780</v>
      </c>
      <c r="E72" s="2">
        <v>499</v>
      </c>
      <c r="F72" s="2">
        <v>200</v>
      </c>
      <c r="G72" s="9">
        <v>0.59</v>
      </c>
      <c r="H72" s="4">
        <v>4</v>
      </c>
      <c r="I72" s="4" t="s">
        <v>18</v>
      </c>
      <c r="J72" s="4" t="s">
        <v>727</v>
      </c>
      <c r="K72" s="4" t="s">
        <v>737</v>
      </c>
      <c r="L72" s="4" t="s">
        <v>152</v>
      </c>
      <c r="M72" s="11" t="s">
        <v>949</v>
      </c>
      <c r="Q72" s="4" t="s">
        <v>56</v>
      </c>
      <c r="R72" t="str">
        <f t="shared" si="4"/>
        <v>Bamboo</v>
      </c>
      <c r="U72" t="s">
        <v>744</v>
      </c>
      <c r="V72" s="4">
        <v>71</v>
      </c>
      <c r="W72" s="4" t="s">
        <v>150</v>
      </c>
      <c r="X72" s="4" t="str">
        <f t="shared" si="5"/>
        <v>71</v>
      </c>
      <c r="Y72" s="4" t="str">
        <f t="shared" si="6"/>
        <v>71</v>
      </c>
      <c r="Z72" s="4" t="str">
        <f t="shared" si="7"/>
        <v>1754309751</v>
      </c>
    </row>
    <row r="73" spans="1:26" x14ac:dyDescent="0.3">
      <c r="A73" s="4">
        <v>1754309753</v>
      </c>
      <c r="B73" s="4">
        <v>72</v>
      </c>
      <c r="C73" s="4" t="s">
        <v>154</v>
      </c>
      <c r="D73" s="4" t="s">
        <v>781</v>
      </c>
      <c r="E73" s="2">
        <v>399</v>
      </c>
      <c r="F73" s="2">
        <v>277</v>
      </c>
      <c r="G73" s="9">
        <v>0.3</v>
      </c>
      <c r="H73" s="4">
        <v>4</v>
      </c>
      <c r="I73" s="4" t="s">
        <v>13</v>
      </c>
      <c r="J73" s="4" t="s">
        <v>727</v>
      </c>
      <c r="K73" s="4" t="s">
        <v>737</v>
      </c>
      <c r="L73" s="4" t="s">
        <v>155</v>
      </c>
      <c r="M73" s="11" t="s">
        <v>949</v>
      </c>
      <c r="Q73" s="4" t="s">
        <v>56</v>
      </c>
      <c r="R73" t="str">
        <f t="shared" si="4"/>
        <v>Bamboo</v>
      </c>
      <c r="U73" t="s">
        <v>782</v>
      </c>
      <c r="V73" s="4">
        <v>72</v>
      </c>
      <c r="W73" s="4" t="s">
        <v>153</v>
      </c>
      <c r="X73" s="4" t="str">
        <f t="shared" si="5"/>
        <v>72</v>
      </c>
      <c r="Y73" s="4" t="str">
        <f t="shared" si="6"/>
        <v>72</v>
      </c>
      <c r="Z73" s="4" t="str">
        <f t="shared" si="7"/>
        <v>1754309753</v>
      </c>
    </row>
    <row r="74" spans="1:26" x14ac:dyDescent="0.3">
      <c r="A74" s="4">
        <v>1754309756</v>
      </c>
      <c r="B74" s="4">
        <v>73</v>
      </c>
      <c r="C74" s="4" t="s">
        <v>40</v>
      </c>
      <c r="D74" s="4" t="s">
        <v>752</v>
      </c>
      <c r="E74" s="2">
        <v>499</v>
      </c>
      <c r="F74" s="2">
        <v>335</v>
      </c>
      <c r="G74" s="9">
        <v>0.32</v>
      </c>
      <c r="H74" s="4">
        <v>4</v>
      </c>
      <c r="I74" s="4" t="s">
        <v>18</v>
      </c>
      <c r="J74" s="4" t="s">
        <v>724</v>
      </c>
      <c r="K74" s="4" t="s">
        <v>733</v>
      </c>
      <c r="L74" s="4" t="s">
        <v>23</v>
      </c>
      <c r="M74" s="11" t="s">
        <v>949</v>
      </c>
      <c r="Q74" s="4" t="s">
        <v>41</v>
      </c>
      <c r="R74" t="str">
        <f t="shared" si="4"/>
        <v>Succulent</v>
      </c>
      <c r="U74" t="s">
        <v>742</v>
      </c>
      <c r="V74" s="4">
        <v>73</v>
      </c>
      <c r="W74" s="4" t="s">
        <v>156</v>
      </c>
      <c r="X74" s="4" t="str">
        <f t="shared" si="5"/>
        <v>73</v>
      </c>
      <c r="Y74" s="4" t="str">
        <f t="shared" si="6"/>
        <v>73</v>
      </c>
      <c r="Z74" s="4" t="str">
        <f t="shared" si="7"/>
        <v>1754309756</v>
      </c>
    </row>
    <row r="75" spans="1:26" x14ac:dyDescent="0.3">
      <c r="A75" s="4">
        <v>1754309758</v>
      </c>
      <c r="B75" s="4">
        <v>74</v>
      </c>
      <c r="C75" s="4" t="s">
        <v>21</v>
      </c>
      <c r="D75" s="4" t="s">
        <v>745</v>
      </c>
      <c r="E75" s="2">
        <v>445</v>
      </c>
      <c r="F75" s="2">
        <v>335</v>
      </c>
      <c r="G75" s="9">
        <v>0.24</v>
      </c>
      <c r="H75" s="4">
        <v>4.4000000000000004</v>
      </c>
      <c r="I75" s="4" t="s">
        <v>18</v>
      </c>
      <c r="J75" s="4" t="s">
        <v>722</v>
      </c>
      <c r="K75" s="4" t="s">
        <v>733</v>
      </c>
      <c r="L75" s="4" t="s">
        <v>23</v>
      </c>
      <c r="M75" s="11" t="s">
        <v>949</v>
      </c>
      <c r="Q75" s="4" t="s">
        <v>22</v>
      </c>
      <c r="R75" t="str">
        <f t="shared" si="4"/>
        <v>Shrub</v>
      </c>
      <c r="U75" t="s">
        <v>746</v>
      </c>
      <c r="V75" s="4">
        <v>74</v>
      </c>
      <c r="W75" s="4" t="s">
        <v>157</v>
      </c>
      <c r="X75" s="4" t="str">
        <f t="shared" si="5"/>
        <v>74</v>
      </c>
      <c r="Y75" s="4" t="str">
        <f t="shared" si="6"/>
        <v>74</v>
      </c>
      <c r="Z75" s="4" t="str">
        <f t="shared" si="7"/>
        <v>1754309758</v>
      </c>
    </row>
    <row r="76" spans="1:26" x14ac:dyDescent="0.3">
      <c r="A76" s="4">
        <v>1754309761</v>
      </c>
      <c r="B76" s="4">
        <v>75</v>
      </c>
      <c r="C76" s="4" t="s">
        <v>46</v>
      </c>
      <c r="D76" s="4" t="s">
        <v>754</v>
      </c>
      <c r="E76" s="2">
        <v>1493</v>
      </c>
      <c r="F76" s="2">
        <v>169</v>
      </c>
      <c r="G76" s="9">
        <v>0.88</v>
      </c>
      <c r="H76" s="4">
        <v>4</v>
      </c>
      <c r="I76" s="4" t="s">
        <v>18</v>
      </c>
      <c r="J76" s="4" t="s">
        <v>725</v>
      </c>
      <c r="K76" s="4" t="s">
        <v>737</v>
      </c>
      <c r="L76" s="4" t="s">
        <v>19</v>
      </c>
      <c r="M76" s="11" t="s">
        <v>949</v>
      </c>
      <c r="Q76" s="4" t="s">
        <v>47</v>
      </c>
      <c r="R76" t="str">
        <f t="shared" si="4"/>
        <v>Air purifier plant</v>
      </c>
      <c r="U76" t="s">
        <v>742</v>
      </c>
      <c r="V76" s="4">
        <v>75</v>
      </c>
      <c r="W76" s="4" t="s">
        <v>158</v>
      </c>
      <c r="X76" s="4" t="str">
        <f t="shared" si="5"/>
        <v>75</v>
      </c>
      <c r="Y76" s="4" t="str">
        <f t="shared" si="6"/>
        <v>75</v>
      </c>
      <c r="Z76" s="4" t="str">
        <f t="shared" si="7"/>
        <v>1754309761</v>
      </c>
    </row>
    <row r="77" spans="1:26" x14ac:dyDescent="0.3">
      <c r="A77" s="4">
        <v>1754309763</v>
      </c>
      <c r="B77" s="4">
        <v>76</v>
      </c>
      <c r="C77" s="4" t="s">
        <v>160</v>
      </c>
      <c r="D77" s="4" t="s">
        <v>783</v>
      </c>
      <c r="E77" s="2">
        <v>399</v>
      </c>
      <c r="F77" s="2">
        <v>207</v>
      </c>
      <c r="G77" s="9">
        <v>0.48</v>
      </c>
      <c r="H77" s="4">
        <v>4</v>
      </c>
      <c r="I77" s="4" t="s">
        <v>18</v>
      </c>
      <c r="J77" s="4" t="s">
        <v>726</v>
      </c>
      <c r="K77" s="4" t="s">
        <v>737</v>
      </c>
      <c r="L77" s="4" t="s">
        <v>79</v>
      </c>
      <c r="M77" s="11" t="s">
        <v>949</v>
      </c>
      <c r="Q77" s="4" t="s">
        <v>51</v>
      </c>
      <c r="R77" t="str">
        <f t="shared" si="4"/>
        <v>Foliage</v>
      </c>
      <c r="U77" t="s">
        <v>742</v>
      </c>
      <c r="V77" s="4">
        <v>76</v>
      </c>
      <c r="W77" s="4" t="s">
        <v>159</v>
      </c>
      <c r="X77" s="4" t="str">
        <f t="shared" si="5"/>
        <v>76</v>
      </c>
      <c r="Y77" s="4" t="str">
        <f t="shared" si="6"/>
        <v>76</v>
      </c>
      <c r="Z77" s="4" t="str">
        <f t="shared" si="7"/>
        <v>1754309763</v>
      </c>
    </row>
    <row r="78" spans="1:26" x14ac:dyDescent="0.3">
      <c r="A78" s="4">
        <v>1754309766</v>
      </c>
      <c r="B78" s="4">
        <v>77</v>
      </c>
      <c r="C78" s="4" t="s">
        <v>162</v>
      </c>
      <c r="D78" s="4" t="s">
        <v>784</v>
      </c>
      <c r="E78" s="2">
        <v>300</v>
      </c>
      <c r="F78" s="2">
        <v>149</v>
      </c>
      <c r="G78" s="9">
        <v>0.5</v>
      </c>
      <c r="H78" s="4">
        <v>1.8</v>
      </c>
      <c r="I78" s="4" t="s">
        <v>13</v>
      </c>
      <c r="J78" s="4" t="s">
        <v>727</v>
      </c>
      <c r="K78" s="4" t="s">
        <v>737</v>
      </c>
      <c r="L78" s="4" t="s">
        <v>163</v>
      </c>
      <c r="M78" s="11" t="s">
        <v>949</v>
      </c>
      <c r="Q78" s="4" t="s">
        <v>56</v>
      </c>
      <c r="R78" t="str">
        <f t="shared" si="4"/>
        <v>Bamboo</v>
      </c>
      <c r="U78" t="s">
        <v>746</v>
      </c>
      <c r="V78" s="4">
        <v>77</v>
      </c>
      <c r="W78" s="4" t="s">
        <v>161</v>
      </c>
      <c r="X78" s="4" t="str">
        <f t="shared" si="5"/>
        <v>77</v>
      </c>
      <c r="Y78" s="4" t="str">
        <f t="shared" si="6"/>
        <v>77</v>
      </c>
      <c r="Z78" s="4" t="str">
        <f t="shared" si="7"/>
        <v>1754309766</v>
      </c>
    </row>
    <row r="79" spans="1:26" x14ac:dyDescent="0.3">
      <c r="A79" s="4">
        <v>1754309768</v>
      </c>
      <c r="B79" s="4">
        <v>78</v>
      </c>
      <c r="C79" s="4" t="s">
        <v>154</v>
      </c>
      <c r="D79" s="4" t="s">
        <v>781</v>
      </c>
      <c r="E79" s="2">
        <v>299</v>
      </c>
      <c r="F79" s="2">
        <v>224</v>
      </c>
      <c r="G79" s="9">
        <v>0.25</v>
      </c>
      <c r="H79" s="4">
        <v>4</v>
      </c>
      <c r="I79" s="4" t="s">
        <v>13</v>
      </c>
      <c r="J79" s="4" t="s">
        <v>726</v>
      </c>
      <c r="K79" s="4" t="s">
        <v>737</v>
      </c>
      <c r="L79" s="4" t="s">
        <v>155</v>
      </c>
      <c r="M79" s="11" t="s">
        <v>949</v>
      </c>
      <c r="Q79" s="4" t="s">
        <v>51</v>
      </c>
      <c r="R79" t="str">
        <f t="shared" si="4"/>
        <v>Foliage</v>
      </c>
      <c r="U79" t="s">
        <v>742</v>
      </c>
      <c r="V79" s="4">
        <v>78</v>
      </c>
      <c r="W79" s="4" t="s">
        <v>164</v>
      </c>
      <c r="X79" s="4" t="str">
        <f t="shared" si="5"/>
        <v>78</v>
      </c>
      <c r="Y79" s="4" t="str">
        <f t="shared" si="6"/>
        <v>78</v>
      </c>
      <c r="Z79" s="4" t="str">
        <f t="shared" si="7"/>
        <v>1754309768</v>
      </c>
    </row>
    <row r="80" spans="1:26" x14ac:dyDescent="0.3">
      <c r="A80" s="4">
        <v>1754309771</v>
      </c>
      <c r="B80" s="4">
        <v>79</v>
      </c>
      <c r="C80" s="4" t="s">
        <v>40</v>
      </c>
      <c r="D80" s="4" t="s">
        <v>752</v>
      </c>
      <c r="E80" s="2">
        <v>495</v>
      </c>
      <c r="F80" s="2">
        <v>331</v>
      </c>
      <c r="G80" s="9">
        <v>0.33</v>
      </c>
      <c r="H80" s="4">
        <v>4.0999999999999996</v>
      </c>
      <c r="I80" s="4" t="s">
        <v>18</v>
      </c>
      <c r="J80" s="4" t="s">
        <v>724</v>
      </c>
      <c r="K80" s="4" t="s">
        <v>733</v>
      </c>
      <c r="L80" s="4" t="s">
        <v>23</v>
      </c>
      <c r="M80" s="11" t="s">
        <v>949</v>
      </c>
      <c r="Q80" s="4" t="s">
        <v>41</v>
      </c>
      <c r="R80" t="str">
        <f t="shared" si="4"/>
        <v>Succulent</v>
      </c>
      <c r="U80" t="s">
        <v>742</v>
      </c>
      <c r="V80" s="4">
        <v>79</v>
      </c>
      <c r="W80" s="4" t="s">
        <v>165</v>
      </c>
      <c r="X80" s="4" t="str">
        <f t="shared" si="5"/>
        <v>79</v>
      </c>
      <c r="Y80" s="4" t="str">
        <f t="shared" si="6"/>
        <v>79</v>
      </c>
      <c r="Z80" s="4" t="str">
        <f t="shared" si="7"/>
        <v>1754309771</v>
      </c>
    </row>
    <row r="81" spans="1:26" x14ac:dyDescent="0.3">
      <c r="A81" s="4">
        <v>1754309773</v>
      </c>
      <c r="B81" s="4">
        <v>80</v>
      </c>
      <c r="C81" s="4" t="s">
        <v>40</v>
      </c>
      <c r="D81" s="4" t="s">
        <v>752</v>
      </c>
      <c r="E81" s="2">
        <v>349</v>
      </c>
      <c r="F81" s="2">
        <v>325</v>
      </c>
      <c r="G81" s="9">
        <v>0.06</v>
      </c>
      <c r="H81" s="4">
        <v>4</v>
      </c>
      <c r="I81" s="4" t="s">
        <v>18</v>
      </c>
      <c r="J81" s="4" t="s">
        <v>724</v>
      </c>
      <c r="K81" s="4" t="s">
        <v>733</v>
      </c>
      <c r="L81" s="4" t="s">
        <v>23</v>
      </c>
      <c r="M81" s="11" t="s">
        <v>949</v>
      </c>
      <c r="Q81" s="4" t="s">
        <v>41</v>
      </c>
      <c r="R81" t="str">
        <f t="shared" si="4"/>
        <v>Succulent</v>
      </c>
      <c r="U81" t="s">
        <v>746</v>
      </c>
      <c r="V81" s="4">
        <v>80</v>
      </c>
      <c r="W81" s="4" t="s">
        <v>166</v>
      </c>
      <c r="X81" s="4" t="str">
        <f t="shared" si="5"/>
        <v>80</v>
      </c>
      <c r="Y81" s="4" t="str">
        <f t="shared" si="6"/>
        <v>80</v>
      </c>
      <c r="Z81" s="4" t="str">
        <f t="shared" si="7"/>
        <v>1754309773</v>
      </c>
    </row>
    <row r="82" spans="1:26" x14ac:dyDescent="0.3">
      <c r="A82" s="4">
        <v>1754309779</v>
      </c>
      <c r="B82" s="4">
        <v>81</v>
      </c>
      <c r="C82" s="4" t="s">
        <v>168</v>
      </c>
      <c r="D82" s="4" t="s">
        <v>785</v>
      </c>
      <c r="E82" s="2">
        <v>399</v>
      </c>
      <c r="F82" s="2">
        <v>135</v>
      </c>
      <c r="G82" s="9">
        <v>0.66</v>
      </c>
      <c r="H82" s="4">
        <v>3.1</v>
      </c>
      <c r="I82" s="4" t="s">
        <v>18</v>
      </c>
      <c r="J82" s="4" t="s">
        <v>728</v>
      </c>
      <c r="K82" s="4" t="s">
        <v>732</v>
      </c>
      <c r="L82" s="4" t="s">
        <v>169</v>
      </c>
      <c r="M82" s="11" t="s">
        <v>949</v>
      </c>
      <c r="Q82" s="4" t="s">
        <v>68</v>
      </c>
      <c r="R82" t="str">
        <f t="shared" si="4"/>
        <v>Fruit</v>
      </c>
      <c r="U82" t="s">
        <v>742</v>
      </c>
      <c r="V82" s="4">
        <v>81</v>
      </c>
      <c r="W82" s="4" t="s">
        <v>167</v>
      </c>
      <c r="X82" s="4" t="str">
        <f t="shared" si="5"/>
        <v>81</v>
      </c>
      <c r="Y82" s="4" t="str">
        <f t="shared" si="6"/>
        <v>81</v>
      </c>
      <c r="Z82" s="4" t="str">
        <f t="shared" si="7"/>
        <v>1754309779</v>
      </c>
    </row>
    <row r="83" spans="1:26" x14ac:dyDescent="0.3">
      <c r="A83" s="4">
        <v>1754309782</v>
      </c>
      <c r="B83" s="4">
        <v>82</v>
      </c>
      <c r="C83" s="4" t="s">
        <v>171</v>
      </c>
      <c r="D83" s="4" t="s">
        <v>786</v>
      </c>
      <c r="E83" s="2">
        <v>899</v>
      </c>
      <c r="F83" s="2">
        <v>146</v>
      </c>
      <c r="G83" s="9">
        <v>0.83</v>
      </c>
      <c r="H83" s="4">
        <v>2.2999999999999998</v>
      </c>
      <c r="I83" s="4" t="s">
        <v>13</v>
      </c>
      <c r="J83" s="4" t="s">
        <v>728</v>
      </c>
      <c r="K83" s="4" t="s">
        <v>732</v>
      </c>
      <c r="L83" s="4" t="s">
        <v>172</v>
      </c>
      <c r="M83" s="11" t="s">
        <v>949</v>
      </c>
      <c r="Q83" s="4" t="s">
        <v>68</v>
      </c>
      <c r="R83" t="str">
        <f t="shared" si="4"/>
        <v>Fruit</v>
      </c>
      <c r="U83" t="s">
        <v>742</v>
      </c>
      <c r="V83" s="4">
        <v>82</v>
      </c>
      <c r="W83" s="4" t="s">
        <v>170</v>
      </c>
      <c r="X83" s="4" t="str">
        <f t="shared" si="5"/>
        <v>82</v>
      </c>
      <c r="Y83" s="4" t="str">
        <f t="shared" si="6"/>
        <v>82</v>
      </c>
      <c r="Z83" s="4" t="str">
        <f t="shared" si="7"/>
        <v>1754309782</v>
      </c>
    </row>
    <row r="84" spans="1:26" x14ac:dyDescent="0.3">
      <c r="A84" s="4">
        <v>1754309784</v>
      </c>
      <c r="B84" s="4">
        <v>83</v>
      </c>
      <c r="C84" s="4" t="s">
        <v>21</v>
      </c>
      <c r="D84" s="4" t="s">
        <v>745</v>
      </c>
      <c r="E84" s="2">
        <v>449</v>
      </c>
      <c r="F84" s="2">
        <v>384</v>
      </c>
      <c r="G84" s="9">
        <v>0.14000000000000001</v>
      </c>
      <c r="H84" s="4">
        <v>4.4000000000000004</v>
      </c>
      <c r="I84" s="4" t="s">
        <v>18</v>
      </c>
      <c r="J84" s="4" t="s">
        <v>722</v>
      </c>
      <c r="K84" s="4" t="s">
        <v>733</v>
      </c>
      <c r="L84" s="4" t="s">
        <v>23</v>
      </c>
      <c r="M84" s="11" t="s">
        <v>949</v>
      </c>
      <c r="Q84" s="4" t="s">
        <v>22</v>
      </c>
      <c r="R84" t="str">
        <f t="shared" si="4"/>
        <v>Shrub</v>
      </c>
      <c r="U84" t="s">
        <v>746</v>
      </c>
      <c r="V84" s="4">
        <v>83</v>
      </c>
      <c r="W84" s="4" t="s">
        <v>173</v>
      </c>
      <c r="X84" s="4" t="str">
        <f t="shared" si="5"/>
        <v>83</v>
      </c>
      <c r="Y84" s="4" t="str">
        <f t="shared" si="6"/>
        <v>83</v>
      </c>
      <c r="Z84" s="4" t="str">
        <f t="shared" si="7"/>
        <v>1754309784</v>
      </c>
    </row>
    <row r="85" spans="1:26" x14ac:dyDescent="0.3">
      <c r="A85" s="4">
        <v>1754309787</v>
      </c>
      <c r="B85" s="4">
        <v>84</v>
      </c>
      <c r="C85" s="4" t="s">
        <v>25</v>
      </c>
      <c r="D85" s="4" t="s">
        <v>747</v>
      </c>
      <c r="E85" s="2">
        <v>449</v>
      </c>
      <c r="F85" s="2">
        <v>349</v>
      </c>
      <c r="G85" s="9">
        <v>0.22</v>
      </c>
      <c r="H85" s="4">
        <v>4.3</v>
      </c>
      <c r="I85" s="4" t="s">
        <v>18</v>
      </c>
      <c r="J85" s="4" t="s">
        <v>722</v>
      </c>
      <c r="K85" s="4" t="s">
        <v>733</v>
      </c>
      <c r="L85" s="4" t="s">
        <v>23</v>
      </c>
      <c r="M85" s="11" t="s">
        <v>949</v>
      </c>
      <c r="Q85" s="4" t="s">
        <v>22</v>
      </c>
      <c r="R85" t="str">
        <f t="shared" si="4"/>
        <v>Shrub</v>
      </c>
      <c r="U85" t="s">
        <v>746</v>
      </c>
      <c r="V85" s="4">
        <v>84</v>
      </c>
      <c r="W85" s="4" t="s">
        <v>174</v>
      </c>
      <c r="X85" s="4" t="str">
        <f t="shared" si="5"/>
        <v>84</v>
      </c>
      <c r="Y85" s="4" t="str">
        <f t="shared" si="6"/>
        <v>84</v>
      </c>
      <c r="Z85" s="4" t="str">
        <f t="shared" si="7"/>
        <v>1754309787</v>
      </c>
    </row>
    <row r="86" spans="1:26" x14ac:dyDescent="0.3">
      <c r="A86" s="4">
        <v>1754309790</v>
      </c>
      <c r="B86" s="4">
        <v>85</v>
      </c>
      <c r="C86" s="4" t="s">
        <v>176</v>
      </c>
      <c r="D86" s="4" t="s">
        <v>787</v>
      </c>
      <c r="E86" s="2">
        <v>1033</v>
      </c>
      <c r="F86" s="2">
        <v>140</v>
      </c>
      <c r="G86" s="9">
        <v>0.86</v>
      </c>
      <c r="H86" s="4">
        <v>4.0999999999999996</v>
      </c>
      <c r="I86" s="4" t="s">
        <v>18</v>
      </c>
      <c r="J86" s="4" t="s">
        <v>729</v>
      </c>
      <c r="K86" s="4" t="s">
        <v>737</v>
      </c>
      <c r="L86" s="4" t="s">
        <v>29</v>
      </c>
      <c r="M86" s="11" t="s">
        <v>949</v>
      </c>
      <c r="Q86" s="4" t="s">
        <v>177</v>
      </c>
      <c r="R86" t="str">
        <f t="shared" si="4"/>
        <v>Flower</v>
      </c>
      <c r="U86" t="s">
        <v>788</v>
      </c>
      <c r="V86" s="4">
        <v>85</v>
      </c>
      <c r="W86" s="4" t="s">
        <v>175</v>
      </c>
      <c r="X86" s="4" t="str">
        <f t="shared" si="5"/>
        <v>85</v>
      </c>
      <c r="Y86" s="4" t="str">
        <f t="shared" si="6"/>
        <v>85</v>
      </c>
      <c r="Z86" s="4" t="str">
        <f t="shared" si="7"/>
        <v>1754309790</v>
      </c>
    </row>
    <row r="87" spans="1:26" x14ac:dyDescent="0.3">
      <c r="A87" s="4">
        <v>1754309792</v>
      </c>
      <c r="B87" s="4">
        <v>86</v>
      </c>
      <c r="C87" s="4" t="s">
        <v>179</v>
      </c>
      <c r="D87" s="4" t="s">
        <v>789</v>
      </c>
      <c r="E87" s="2">
        <v>700</v>
      </c>
      <c r="F87" s="2">
        <v>149</v>
      </c>
      <c r="G87" s="9">
        <v>0.78</v>
      </c>
      <c r="H87" s="4">
        <v>4</v>
      </c>
      <c r="I87" s="4" t="s">
        <v>13</v>
      </c>
      <c r="J87" s="4" t="s">
        <v>730</v>
      </c>
      <c r="K87" s="4" t="s">
        <v>732</v>
      </c>
      <c r="L87" s="4" t="s">
        <v>141</v>
      </c>
      <c r="M87" s="11" t="s">
        <v>949</v>
      </c>
      <c r="Q87" s="4" t="s">
        <v>180</v>
      </c>
      <c r="R87" t="str">
        <f t="shared" si="4"/>
        <v>Tree</v>
      </c>
      <c r="U87" t="s">
        <v>742</v>
      </c>
      <c r="V87" s="4">
        <v>86</v>
      </c>
      <c r="W87" s="4" t="s">
        <v>178</v>
      </c>
      <c r="X87" s="4" t="str">
        <f t="shared" si="5"/>
        <v>86</v>
      </c>
      <c r="Y87" s="4" t="str">
        <f t="shared" si="6"/>
        <v>86</v>
      </c>
      <c r="Z87" s="4" t="str">
        <f t="shared" si="7"/>
        <v>1754309792</v>
      </c>
    </row>
    <row r="88" spans="1:26" x14ac:dyDescent="0.3">
      <c r="A88" s="4">
        <v>1754309795</v>
      </c>
      <c r="B88" s="4">
        <v>87</v>
      </c>
      <c r="C88" s="4" t="s">
        <v>182</v>
      </c>
      <c r="D88" s="4" t="s">
        <v>790</v>
      </c>
      <c r="E88" s="2">
        <v>599</v>
      </c>
      <c r="F88" s="2">
        <v>149</v>
      </c>
      <c r="G88" s="9">
        <v>0.75</v>
      </c>
      <c r="H88" s="4">
        <v>1</v>
      </c>
      <c r="I88" s="4" t="s">
        <v>18</v>
      </c>
      <c r="J88" s="4" t="s">
        <v>729</v>
      </c>
      <c r="K88" s="4" t="s">
        <v>737</v>
      </c>
      <c r="L88" s="4" t="s">
        <v>183</v>
      </c>
      <c r="M88" s="11" t="s">
        <v>949</v>
      </c>
      <c r="Q88" s="4" t="s">
        <v>177</v>
      </c>
      <c r="R88" t="str">
        <f t="shared" si="4"/>
        <v>Flower</v>
      </c>
      <c r="U88" t="s">
        <v>742</v>
      </c>
      <c r="V88" s="4">
        <v>87</v>
      </c>
      <c r="W88" s="4" t="s">
        <v>181</v>
      </c>
      <c r="X88" s="4" t="str">
        <f t="shared" si="5"/>
        <v>87</v>
      </c>
      <c r="Y88" s="4" t="str">
        <f t="shared" si="6"/>
        <v>87</v>
      </c>
      <c r="Z88" s="4" t="str">
        <f t="shared" si="7"/>
        <v>1754309795</v>
      </c>
    </row>
    <row r="89" spans="1:26" x14ac:dyDescent="0.3">
      <c r="A89" s="4">
        <v>1754309798</v>
      </c>
      <c r="B89" s="4">
        <v>88</v>
      </c>
      <c r="C89" s="4" t="s">
        <v>185</v>
      </c>
      <c r="D89" s="4" t="s">
        <v>791</v>
      </c>
      <c r="E89" s="2">
        <v>399</v>
      </c>
      <c r="F89" s="2">
        <v>182</v>
      </c>
      <c r="G89" s="9">
        <v>0.54</v>
      </c>
      <c r="H89" s="4">
        <v>1.9</v>
      </c>
      <c r="I89" s="4" t="s">
        <v>18</v>
      </c>
      <c r="J89" s="4" t="s">
        <v>728</v>
      </c>
      <c r="K89" s="4" t="s">
        <v>732</v>
      </c>
      <c r="L89" s="4" t="s">
        <v>144</v>
      </c>
      <c r="M89" s="11" t="s">
        <v>949</v>
      </c>
      <c r="Q89" s="4" t="s">
        <v>68</v>
      </c>
      <c r="R89" t="str">
        <f t="shared" si="4"/>
        <v>Fruit</v>
      </c>
      <c r="U89" t="s">
        <v>746</v>
      </c>
      <c r="V89" s="4">
        <v>88</v>
      </c>
      <c r="W89" s="4" t="s">
        <v>184</v>
      </c>
      <c r="X89" s="4" t="str">
        <f t="shared" si="5"/>
        <v>88</v>
      </c>
      <c r="Y89" s="4" t="str">
        <f t="shared" si="6"/>
        <v>88</v>
      </c>
      <c r="Z89" s="4" t="str">
        <f t="shared" si="7"/>
        <v>1754309798</v>
      </c>
    </row>
    <row r="90" spans="1:26" x14ac:dyDescent="0.3">
      <c r="A90" s="4">
        <v>1754309801</v>
      </c>
      <c r="B90" s="4">
        <v>89</v>
      </c>
      <c r="C90" s="4" t="s">
        <v>21</v>
      </c>
      <c r="D90" s="4" t="s">
        <v>745</v>
      </c>
      <c r="E90" s="2">
        <v>449</v>
      </c>
      <c r="F90" s="2">
        <v>384</v>
      </c>
      <c r="G90" s="9">
        <v>0.14000000000000001</v>
      </c>
      <c r="H90" s="4">
        <v>4.4000000000000004</v>
      </c>
      <c r="I90" s="4" t="s">
        <v>18</v>
      </c>
      <c r="J90" s="4" t="s">
        <v>722</v>
      </c>
      <c r="K90" s="4" t="s">
        <v>733</v>
      </c>
      <c r="L90" s="4" t="s">
        <v>23</v>
      </c>
      <c r="M90" s="11" t="s">
        <v>949</v>
      </c>
      <c r="Q90" s="4" t="s">
        <v>22</v>
      </c>
      <c r="R90" t="str">
        <f t="shared" si="4"/>
        <v>Shrub</v>
      </c>
      <c r="U90" t="s">
        <v>746</v>
      </c>
      <c r="V90" s="4">
        <v>89</v>
      </c>
      <c r="W90" s="4" t="s">
        <v>186</v>
      </c>
      <c r="X90" s="4" t="str">
        <f t="shared" si="5"/>
        <v>89</v>
      </c>
      <c r="Y90" s="4" t="str">
        <f t="shared" si="6"/>
        <v>89</v>
      </c>
      <c r="Z90" s="4" t="str">
        <f t="shared" si="7"/>
        <v>1754309801</v>
      </c>
    </row>
    <row r="91" spans="1:26" x14ac:dyDescent="0.3">
      <c r="A91" s="4">
        <v>1754309803</v>
      </c>
      <c r="B91" s="4">
        <v>90</v>
      </c>
      <c r="C91" s="4" t="s">
        <v>40</v>
      </c>
      <c r="D91" s="4" t="s">
        <v>752</v>
      </c>
      <c r="E91" s="2">
        <v>499</v>
      </c>
      <c r="F91" s="2">
        <v>335</v>
      </c>
      <c r="G91" s="9">
        <v>0.32</v>
      </c>
      <c r="H91" s="4">
        <v>4</v>
      </c>
      <c r="I91" s="4" t="s">
        <v>18</v>
      </c>
      <c r="J91" s="4" t="s">
        <v>724</v>
      </c>
      <c r="K91" s="4" t="s">
        <v>733</v>
      </c>
      <c r="L91" s="4" t="s">
        <v>23</v>
      </c>
      <c r="M91" s="11" t="s">
        <v>949</v>
      </c>
      <c r="Q91" s="4" t="s">
        <v>41</v>
      </c>
      <c r="R91" t="str">
        <f t="shared" si="4"/>
        <v>Succulent</v>
      </c>
      <c r="U91" t="s">
        <v>742</v>
      </c>
      <c r="V91" s="4">
        <v>90</v>
      </c>
      <c r="W91" s="4" t="s">
        <v>187</v>
      </c>
      <c r="X91" s="4" t="str">
        <f t="shared" si="5"/>
        <v>90</v>
      </c>
      <c r="Y91" s="4" t="str">
        <f t="shared" si="6"/>
        <v>90</v>
      </c>
      <c r="Z91" s="4" t="str">
        <f t="shared" si="7"/>
        <v>1754309803</v>
      </c>
    </row>
    <row r="92" spans="1:26" x14ac:dyDescent="0.3">
      <c r="A92" s="4">
        <v>1754309806</v>
      </c>
      <c r="B92" s="4">
        <v>91</v>
      </c>
      <c r="C92" s="4" t="s">
        <v>189</v>
      </c>
      <c r="D92" s="4" t="s">
        <v>792</v>
      </c>
      <c r="E92" s="2">
        <v>599</v>
      </c>
      <c r="F92" s="2">
        <v>135</v>
      </c>
      <c r="G92" s="9">
        <v>0.77</v>
      </c>
      <c r="H92" s="4">
        <v>3.6</v>
      </c>
      <c r="I92" s="4" t="s">
        <v>18</v>
      </c>
      <c r="J92" s="4" t="s">
        <v>728</v>
      </c>
      <c r="K92" s="4" t="s">
        <v>732</v>
      </c>
      <c r="L92" s="4" t="s">
        <v>29</v>
      </c>
      <c r="M92" s="11" t="s">
        <v>949</v>
      </c>
      <c r="Q92" s="4" t="s">
        <v>68</v>
      </c>
      <c r="R92" t="str">
        <f t="shared" si="4"/>
        <v>Fruit</v>
      </c>
      <c r="U92" t="s">
        <v>742</v>
      </c>
      <c r="V92" s="4">
        <v>91</v>
      </c>
      <c r="W92" s="4" t="s">
        <v>188</v>
      </c>
      <c r="X92" s="4" t="str">
        <f t="shared" si="5"/>
        <v>91</v>
      </c>
      <c r="Y92" s="4" t="str">
        <f t="shared" si="6"/>
        <v>91</v>
      </c>
      <c r="Z92" s="4" t="str">
        <f t="shared" si="7"/>
        <v>1754309806</v>
      </c>
    </row>
    <row r="93" spans="1:26" x14ac:dyDescent="0.3">
      <c r="A93" s="4">
        <v>1754309808</v>
      </c>
      <c r="B93" s="4">
        <v>92</v>
      </c>
      <c r="C93" s="4" t="s">
        <v>191</v>
      </c>
      <c r="D93" s="4" t="s">
        <v>793</v>
      </c>
      <c r="E93" s="2">
        <v>299</v>
      </c>
      <c r="F93" s="2">
        <v>167</v>
      </c>
      <c r="G93" s="9">
        <v>0.44</v>
      </c>
      <c r="H93" s="4">
        <v>3.5</v>
      </c>
      <c r="I93" s="4" t="s">
        <v>18</v>
      </c>
      <c r="J93" s="4" t="s">
        <v>728</v>
      </c>
      <c r="K93" s="4" t="s">
        <v>732</v>
      </c>
      <c r="L93" s="4" t="s">
        <v>192</v>
      </c>
      <c r="M93" s="11" t="s">
        <v>949</v>
      </c>
      <c r="Q93" s="4" t="s">
        <v>68</v>
      </c>
      <c r="R93" t="str">
        <f t="shared" si="4"/>
        <v>Fruit</v>
      </c>
      <c r="U93" t="s">
        <v>744</v>
      </c>
      <c r="V93" s="4">
        <v>92</v>
      </c>
      <c r="W93" s="4" t="s">
        <v>190</v>
      </c>
      <c r="X93" s="4" t="str">
        <f t="shared" si="5"/>
        <v>92</v>
      </c>
      <c r="Y93" s="4" t="str">
        <f t="shared" si="6"/>
        <v>92</v>
      </c>
      <c r="Z93" s="4" t="str">
        <f t="shared" si="7"/>
        <v>1754309808</v>
      </c>
    </row>
    <row r="94" spans="1:26" x14ac:dyDescent="0.3">
      <c r="A94" s="4">
        <v>1754309811</v>
      </c>
      <c r="B94" s="4">
        <v>93</v>
      </c>
      <c r="C94" s="4" t="s">
        <v>40</v>
      </c>
      <c r="D94" s="4" t="s">
        <v>752</v>
      </c>
      <c r="E94" s="2">
        <v>749</v>
      </c>
      <c r="F94" s="2">
        <v>516</v>
      </c>
      <c r="G94" s="9">
        <v>0.31</v>
      </c>
      <c r="H94" s="4">
        <v>3.6</v>
      </c>
      <c r="I94" s="4" t="s">
        <v>18</v>
      </c>
      <c r="J94" s="4" t="s">
        <v>724</v>
      </c>
      <c r="K94" s="4" t="s">
        <v>733</v>
      </c>
      <c r="L94" s="4" t="s">
        <v>23</v>
      </c>
      <c r="M94" s="11" t="s">
        <v>949</v>
      </c>
      <c r="Q94" s="4" t="s">
        <v>41</v>
      </c>
      <c r="R94" t="str">
        <f t="shared" si="4"/>
        <v>Succulent</v>
      </c>
      <c r="U94" t="s">
        <v>742</v>
      </c>
      <c r="V94" s="4">
        <v>93</v>
      </c>
      <c r="W94" s="4" t="s">
        <v>193</v>
      </c>
      <c r="X94" s="4" t="str">
        <f t="shared" si="5"/>
        <v>93</v>
      </c>
      <c r="Y94" s="4" t="str">
        <f t="shared" si="6"/>
        <v>93</v>
      </c>
      <c r="Z94" s="4" t="str">
        <f t="shared" si="7"/>
        <v>1754309811</v>
      </c>
    </row>
    <row r="95" spans="1:26" x14ac:dyDescent="0.3">
      <c r="A95" s="4">
        <v>1754309813</v>
      </c>
      <c r="B95" s="4">
        <v>94</v>
      </c>
      <c r="C95" s="4" t="s">
        <v>50</v>
      </c>
      <c r="D95" s="4" t="s">
        <v>755</v>
      </c>
      <c r="E95" s="2">
        <v>549</v>
      </c>
      <c r="F95" s="2">
        <v>388</v>
      </c>
      <c r="G95" s="9">
        <v>0.28999999999999998</v>
      </c>
      <c r="H95" s="4">
        <v>4.3</v>
      </c>
      <c r="I95" s="4" t="s">
        <v>18</v>
      </c>
      <c r="J95" s="4" t="s">
        <v>726</v>
      </c>
      <c r="K95" s="4" t="s">
        <v>733</v>
      </c>
      <c r="L95" s="4" t="s">
        <v>23</v>
      </c>
      <c r="M95" s="11" t="s">
        <v>949</v>
      </c>
      <c r="Q95" s="4" t="s">
        <v>51</v>
      </c>
      <c r="R95" t="str">
        <f t="shared" si="4"/>
        <v>Foliage</v>
      </c>
      <c r="U95" t="s">
        <v>742</v>
      </c>
      <c r="V95" s="4">
        <v>94</v>
      </c>
      <c r="W95" s="4" t="s">
        <v>194</v>
      </c>
      <c r="X95" s="4" t="str">
        <f t="shared" si="5"/>
        <v>94</v>
      </c>
      <c r="Y95" s="4" t="str">
        <f t="shared" si="6"/>
        <v>94</v>
      </c>
      <c r="Z95" s="4" t="str">
        <f t="shared" si="7"/>
        <v>1754309813</v>
      </c>
    </row>
    <row r="96" spans="1:26" x14ac:dyDescent="0.3">
      <c r="A96" s="4">
        <v>1754309816</v>
      </c>
      <c r="B96" s="4">
        <v>95</v>
      </c>
      <c r="C96" s="4" t="s">
        <v>196</v>
      </c>
      <c r="D96" s="4" t="s">
        <v>794</v>
      </c>
      <c r="E96" s="2">
        <v>1489</v>
      </c>
      <c r="F96" s="2">
        <v>528</v>
      </c>
      <c r="G96" s="9">
        <v>0.64</v>
      </c>
      <c r="H96" s="4">
        <v>4</v>
      </c>
      <c r="I96" s="4" t="s">
        <v>18</v>
      </c>
      <c r="J96" s="4" t="s">
        <v>723</v>
      </c>
      <c r="K96" s="4" t="s">
        <v>732</v>
      </c>
      <c r="L96" s="4" t="s">
        <v>197</v>
      </c>
      <c r="M96" s="11" t="s">
        <v>949</v>
      </c>
      <c r="Q96" s="4" t="s">
        <v>28</v>
      </c>
      <c r="R96" t="str">
        <f t="shared" si="4"/>
        <v>Herb</v>
      </c>
      <c r="U96" t="s">
        <v>746</v>
      </c>
      <c r="V96" s="4">
        <v>95</v>
      </c>
      <c r="W96" s="4" t="s">
        <v>195</v>
      </c>
      <c r="X96" s="4" t="str">
        <f t="shared" si="5"/>
        <v>95</v>
      </c>
      <c r="Y96" s="4" t="str">
        <f t="shared" si="6"/>
        <v>95</v>
      </c>
      <c r="Z96" s="4" t="str">
        <f t="shared" si="7"/>
        <v>1754309816</v>
      </c>
    </row>
    <row r="97" spans="1:26" x14ac:dyDescent="0.3">
      <c r="A97" s="4">
        <v>1754309818</v>
      </c>
      <c r="B97" s="4">
        <v>96</v>
      </c>
      <c r="C97" s="4" t="s">
        <v>199</v>
      </c>
      <c r="D97" s="4" t="s">
        <v>795</v>
      </c>
      <c r="E97" s="2">
        <v>369</v>
      </c>
      <c r="F97" s="2">
        <v>181</v>
      </c>
      <c r="G97" s="9">
        <v>0.5</v>
      </c>
      <c r="H97" s="4">
        <v>3.6</v>
      </c>
      <c r="I97" s="4" t="s">
        <v>18</v>
      </c>
      <c r="J97" s="4" t="s">
        <v>729</v>
      </c>
      <c r="K97" s="4" t="s">
        <v>732</v>
      </c>
      <c r="L97" s="4" t="s">
        <v>44</v>
      </c>
      <c r="M97" s="11" t="s">
        <v>949</v>
      </c>
      <c r="Q97" s="4" t="s">
        <v>177</v>
      </c>
      <c r="R97" t="str">
        <f t="shared" si="4"/>
        <v>Flower</v>
      </c>
      <c r="U97" t="s">
        <v>742</v>
      </c>
      <c r="V97" s="4">
        <v>96</v>
      </c>
      <c r="W97" s="4" t="s">
        <v>198</v>
      </c>
      <c r="X97" s="4" t="str">
        <f t="shared" si="5"/>
        <v>96</v>
      </c>
      <c r="Y97" s="4" t="str">
        <f t="shared" si="6"/>
        <v>96</v>
      </c>
      <c r="Z97" s="4" t="str">
        <f t="shared" si="7"/>
        <v>1754309818</v>
      </c>
    </row>
    <row r="98" spans="1:26" x14ac:dyDescent="0.3">
      <c r="A98" s="4">
        <v>1754309821</v>
      </c>
      <c r="B98" s="4">
        <v>97</v>
      </c>
      <c r="C98" s="4" t="s">
        <v>201</v>
      </c>
      <c r="D98" s="4" t="s">
        <v>796</v>
      </c>
      <c r="E98" s="2">
        <v>199</v>
      </c>
      <c r="F98" s="2">
        <v>147</v>
      </c>
      <c r="G98" s="9">
        <v>0.26</v>
      </c>
      <c r="H98" s="4">
        <v>3.6</v>
      </c>
      <c r="I98" s="4" t="s">
        <v>13</v>
      </c>
      <c r="J98" s="4" t="s">
        <v>728</v>
      </c>
      <c r="K98" s="4" t="s">
        <v>732</v>
      </c>
      <c r="L98" s="4" t="s">
        <v>44</v>
      </c>
      <c r="M98" s="11" t="s">
        <v>949</v>
      </c>
      <c r="Q98" s="4" t="s">
        <v>68</v>
      </c>
      <c r="R98" t="str">
        <f t="shared" si="4"/>
        <v>Fruit</v>
      </c>
      <c r="U98" t="s">
        <v>742</v>
      </c>
      <c r="V98" s="4">
        <v>97</v>
      </c>
      <c r="W98" s="4" t="s">
        <v>200</v>
      </c>
      <c r="X98" s="4" t="str">
        <f t="shared" si="5"/>
        <v>97</v>
      </c>
      <c r="Y98" s="4" t="str">
        <f t="shared" si="6"/>
        <v>97</v>
      </c>
      <c r="Z98" s="4" t="str">
        <f t="shared" si="7"/>
        <v>1754309821</v>
      </c>
    </row>
    <row r="99" spans="1:26" x14ac:dyDescent="0.3">
      <c r="A99" s="4">
        <v>1754309824</v>
      </c>
      <c r="B99" s="4">
        <v>98</v>
      </c>
      <c r="C99" s="4" t="s">
        <v>203</v>
      </c>
      <c r="D99" s="4" t="s">
        <v>797</v>
      </c>
      <c r="E99" s="2">
        <v>499</v>
      </c>
      <c r="F99" s="2">
        <v>137</v>
      </c>
      <c r="G99" s="9">
        <v>0.72</v>
      </c>
      <c r="H99" s="4">
        <v>3.4</v>
      </c>
      <c r="I99" s="4" t="s">
        <v>18</v>
      </c>
      <c r="J99" s="4" t="s">
        <v>728</v>
      </c>
      <c r="K99" s="4" t="s">
        <v>737</v>
      </c>
      <c r="L99" s="4" t="s">
        <v>204</v>
      </c>
      <c r="M99" s="11" t="s">
        <v>949</v>
      </c>
      <c r="Q99" s="4" t="s">
        <v>68</v>
      </c>
      <c r="R99" t="str">
        <f t="shared" si="4"/>
        <v>Fruit</v>
      </c>
      <c r="U99" t="s">
        <v>742</v>
      </c>
      <c r="V99" s="4">
        <v>98</v>
      </c>
      <c r="W99" s="4" t="s">
        <v>202</v>
      </c>
      <c r="X99" s="4" t="str">
        <f t="shared" si="5"/>
        <v>98</v>
      </c>
      <c r="Y99" s="4" t="str">
        <f t="shared" si="6"/>
        <v>98</v>
      </c>
      <c r="Z99" s="4" t="str">
        <f t="shared" si="7"/>
        <v>1754309824</v>
      </c>
    </row>
    <row r="100" spans="1:26" x14ac:dyDescent="0.3">
      <c r="A100" s="4">
        <v>1754309826</v>
      </c>
      <c r="B100" s="4">
        <v>99</v>
      </c>
      <c r="C100" s="4" t="s">
        <v>25</v>
      </c>
      <c r="D100" s="4" t="s">
        <v>747</v>
      </c>
      <c r="E100" s="2">
        <v>449</v>
      </c>
      <c r="F100" s="2">
        <v>349</v>
      </c>
      <c r="G100" s="9">
        <v>0.22</v>
      </c>
      <c r="H100" s="4">
        <v>4.3</v>
      </c>
      <c r="I100" s="4" t="s">
        <v>18</v>
      </c>
      <c r="J100" s="4" t="s">
        <v>722</v>
      </c>
      <c r="K100" s="4" t="s">
        <v>733</v>
      </c>
      <c r="L100" s="4" t="s">
        <v>23</v>
      </c>
      <c r="M100" s="11" t="s">
        <v>949</v>
      </c>
      <c r="Q100" s="4" t="s">
        <v>22</v>
      </c>
      <c r="R100" t="str">
        <f t="shared" si="4"/>
        <v>Shrub</v>
      </c>
      <c r="U100" t="s">
        <v>746</v>
      </c>
      <c r="V100" s="4">
        <v>99</v>
      </c>
      <c r="W100" s="4" t="s">
        <v>205</v>
      </c>
      <c r="X100" s="4" t="str">
        <f t="shared" si="5"/>
        <v>99</v>
      </c>
      <c r="Y100" s="4" t="str">
        <f t="shared" si="6"/>
        <v>99</v>
      </c>
      <c r="Z100" s="4" t="str">
        <f t="shared" si="7"/>
        <v>1754309826</v>
      </c>
    </row>
    <row r="101" spans="1:26" x14ac:dyDescent="0.3">
      <c r="A101" s="4">
        <v>1754309829</v>
      </c>
      <c r="B101" s="4">
        <v>100</v>
      </c>
      <c r="C101" s="4" t="s">
        <v>25</v>
      </c>
      <c r="D101" s="4" t="s">
        <v>747</v>
      </c>
      <c r="E101" s="2">
        <v>449</v>
      </c>
      <c r="F101" s="2">
        <v>349</v>
      </c>
      <c r="G101" s="9">
        <v>0.22</v>
      </c>
      <c r="H101" s="4">
        <v>4.3</v>
      </c>
      <c r="I101" s="4" t="s">
        <v>18</v>
      </c>
      <c r="J101" s="4" t="s">
        <v>722</v>
      </c>
      <c r="K101" s="4" t="s">
        <v>733</v>
      </c>
      <c r="L101" s="4" t="s">
        <v>23</v>
      </c>
      <c r="M101" s="11" t="s">
        <v>949</v>
      </c>
      <c r="Q101" s="4" t="s">
        <v>22</v>
      </c>
      <c r="R101" t="str">
        <f t="shared" si="4"/>
        <v>Shrub</v>
      </c>
      <c r="U101" t="s">
        <v>746</v>
      </c>
      <c r="V101" s="4">
        <v>100</v>
      </c>
      <c r="W101" s="4" t="s">
        <v>206</v>
      </c>
      <c r="X101" s="4" t="str">
        <f t="shared" si="5"/>
        <v>00</v>
      </c>
      <c r="Y101" s="4" t="str">
        <f t="shared" si="6"/>
        <v>100</v>
      </c>
      <c r="Z101" s="4" t="str">
        <f t="shared" si="7"/>
        <v>1754309829</v>
      </c>
    </row>
    <row r="102" spans="1:26" x14ac:dyDescent="0.3">
      <c r="A102" s="4">
        <v>1754309831</v>
      </c>
      <c r="B102" s="4">
        <v>101</v>
      </c>
      <c r="C102" s="4" t="s">
        <v>208</v>
      </c>
      <c r="D102" s="4" t="s">
        <v>798</v>
      </c>
      <c r="E102" s="2">
        <v>399</v>
      </c>
      <c r="F102" s="2">
        <v>145</v>
      </c>
      <c r="G102" s="9">
        <v>0.63</v>
      </c>
      <c r="H102" s="4">
        <v>3.3</v>
      </c>
      <c r="I102" s="4" t="s">
        <v>13</v>
      </c>
      <c r="J102" s="4" t="s">
        <v>728</v>
      </c>
      <c r="K102" s="4" t="s">
        <v>732</v>
      </c>
      <c r="L102" s="4" t="s">
        <v>29</v>
      </c>
      <c r="M102" s="11" t="s">
        <v>949</v>
      </c>
      <c r="Q102" s="4" t="s">
        <v>68</v>
      </c>
      <c r="R102" t="str">
        <f t="shared" si="4"/>
        <v>Fruit</v>
      </c>
      <c r="U102" t="s">
        <v>742</v>
      </c>
      <c r="V102" s="4">
        <v>101</v>
      </c>
      <c r="W102" s="4" t="s">
        <v>207</v>
      </c>
      <c r="X102" s="4" t="str">
        <f t="shared" si="5"/>
        <v>01</v>
      </c>
      <c r="Y102" s="4" t="str">
        <f t="shared" si="6"/>
        <v>101</v>
      </c>
      <c r="Z102" s="4" t="str">
        <f t="shared" si="7"/>
        <v>1754309831</v>
      </c>
    </row>
    <row r="103" spans="1:26" x14ac:dyDescent="0.3">
      <c r="A103" s="4">
        <v>1754309833</v>
      </c>
      <c r="B103" s="4">
        <v>102</v>
      </c>
      <c r="C103" s="4" t="s">
        <v>210</v>
      </c>
      <c r="D103" s="4" t="s">
        <v>799</v>
      </c>
      <c r="E103" s="2">
        <v>999</v>
      </c>
      <c r="F103" s="2">
        <v>492</v>
      </c>
      <c r="G103" s="9">
        <v>0.5</v>
      </c>
      <c r="H103" s="4">
        <v>3.6</v>
      </c>
      <c r="I103" s="4" t="s">
        <v>18</v>
      </c>
      <c r="J103" s="4" t="s">
        <v>729</v>
      </c>
      <c r="K103" s="4" t="s">
        <v>733</v>
      </c>
      <c r="L103" s="4" t="s">
        <v>115</v>
      </c>
      <c r="M103" s="11" t="s">
        <v>949</v>
      </c>
      <c r="Q103" s="4" t="s">
        <v>177</v>
      </c>
      <c r="R103" t="str">
        <f t="shared" si="4"/>
        <v>Flower</v>
      </c>
      <c r="U103" t="s">
        <v>746</v>
      </c>
      <c r="V103" s="4">
        <v>102</v>
      </c>
      <c r="W103" s="4" t="s">
        <v>209</v>
      </c>
      <c r="X103" s="4" t="str">
        <f t="shared" si="5"/>
        <v>02</v>
      </c>
      <c r="Y103" s="4" t="str">
        <f t="shared" si="6"/>
        <v>102</v>
      </c>
      <c r="Z103" s="4" t="str">
        <f t="shared" si="7"/>
        <v>1754309833</v>
      </c>
    </row>
    <row r="104" spans="1:26" x14ac:dyDescent="0.3">
      <c r="A104" s="4">
        <v>1754309836</v>
      </c>
      <c r="B104" s="4">
        <v>103</v>
      </c>
      <c r="C104" s="4" t="s">
        <v>40</v>
      </c>
      <c r="D104" s="4" t="s">
        <v>752</v>
      </c>
      <c r="E104" s="2">
        <v>499</v>
      </c>
      <c r="F104" s="2">
        <v>424</v>
      </c>
      <c r="G104" s="9">
        <v>0.15</v>
      </c>
      <c r="H104" s="4">
        <v>4.3</v>
      </c>
      <c r="I104" s="4" t="s">
        <v>18</v>
      </c>
      <c r="J104" s="4" t="s">
        <v>724</v>
      </c>
      <c r="K104" s="4" t="s">
        <v>733</v>
      </c>
      <c r="L104" s="4" t="s">
        <v>23</v>
      </c>
      <c r="M104" s="11" t="s">
        <v>949</v>
      </c>
      <c r="Q104" s="4" t="s">
        <v>41</v>
      </c>
      <c r="R104" t="str">
        <f t="shared" si="4"/>
        <v>Succulent</v>
      </c>
      <c r="U104" t="s">
        <v>742</v>
      </c>
      <c r="V104" s="4">
        <v>103</v>
      </c>
      <c r="W104" s="4" t="s">
        <v>211</v>
      </c>
      <c r="X104" s="4" t="str">
        <f t="shared" si="5"/>
        <v>03</v>
      </c>
      <c r="Y104" s="4" t="str">
        <f t="shared" si="6"/>
        <v>103</v>
      </c>
      <c r="Z104" s="4" t="str">
        <f t="shared" si="7"/>
        <v>1754309836</v>
      </c>
    </row>
    <row r="105" spans="1:26" x14ac:dyDescent="0.3">
      <c r="A105" s="4">
        <v>1754309839</v>
      </c>
      <c r="B105" s="4">
        <v>104</v>
      </c>
      <c r="C105" s="4" t="s">
        <v>21</v>
      </c>
      <c r="D105" s="4" t="s">
        <v>745</v>
      </c>
      <c r="E105" s="2">
        <v>449</v>
      </c>
      <c r="F105" s="2">
        <v>359</v>
      </c>
      <c r="G105" s="9">
        <v>0.2</v>
      </c>
      <c r="H105" s="4">
        <v>4.4000000000000004</v>
      </c>
      <c r="I105" s="4" t="s">
        <v>18</v>
      </c>
      <c r="J105" s="4" t="s">
        <v>722</v>
      </c>
      <c r="K105" s="4" t="s">
        <v>733</v>
      </c>
      <c r="L105" s="4" t="s">
        <v>23</v>
      </c>
      <c r="M105" s="11" t="s">
        <v>949</v>
      </c>
      <c r="Q105" s="4" t="s">
        <v>22</v>
      </c>
      <c r="R105" t="str">
        <f t="shared" si="4"/>
        <v>Shrub</v>
      </c>
      <c r="U105" t="s">
        <v>746</v>
      </c>
      <c r="V105" s="4">
        <v>104</v>
      </c>
      <c r="W105" s="4" t="s">
        <v>212</v>
      </c>
      <c r="X105" s="4" t="str">
        <f t="shared" si="5"/>
        <v>04</v>
      </c>
      <c r="Y105" s="4" t="str">
        <f t="shared" si="6"/>
        <v>104</v>
      </c>
      <c r="Z105" s="4" t="str">
        <f t="shared" si="7"/>
        <v>1754309839</v>
      </c>
    </row>
    <row r="106" spans="1:26" x14ac:dyDescent="0.3">
      <c r="A106" s="4">
        <v>1754309841</v>
      </c>
      <c r="B106" s="4">
        <v>105</v>
      </c>
      <c r="C106" s="4" t="s">
        <v>214</v>
      </c>
      <c r="D106" s="4" t="s">
        <v>800</v>
      </c>
      <c r="E106" s="2">
        <v>250</v>
      </c>
      <c r="F106" s="2">
        <v>191</v>
      </c>
      <c r="G106" s="9">
        <v>0.23</v>
      </c>
      <c r="H106" s="4">
        <v>3.5</v>
      </c>
      <c r="I106" s="4" t="s">
        <v>18</v>
      </c>
      <c r="J106" s="4" t="s">
        <v>728</v>
      </c>
      <c r="K106" s="4" t="s">
        <v>732</v>
      </c>
      <c r="L106" s="4" t="s">
        <v>215</v>
      </c>
      <c r="M106" s="11" t="s">
        <v>949</v>
      </c>
      <c r="Q106" s="4" t="s">
        <v>68</v>
      </c>
      <c r="R106" t="str">
        <f t="shared" si="4"/>
        <v>Fruit</v>
      </c>
      <c r="U106" t="s">
        <v>742</v>
      </c>
      <c r="V106" s="4">
        <v>105</v>
      </c>
      <c r="W106" s="4" t="s">
        <v>213</v>
      </c>
      <c r="X106" s="4" t="str">
        <f t="shared" si="5"/>
        <v>05</v>
      </c>
      <c r="Y106" s="4" t="str">
        <f t="shared" si="6"/>
        <v>105</v>
      </c>
      <c r="Z106" s="4" t="str">
        <f t="shared" si="7"/>
        <v>1754309841</v>
      </c>
    </row>
    <row r="107" spans="1:26" x14ac:dyDescent="0.3">
      <c r="A107" s="4">
        <v>1754309844</v>
      </c>
      <c r="B107" s="4">
        <v>106</v>
      </c>
      <c r="C107" s="4" t="s">
        <v>217</v>
      </c>
      <c r="D107" s="4" t="s">
        <v>801</v>
      </c>
      <c r="E107" s="2">
        <v>560</v>
      </c>
      <c r="F107" s="2">
        <v>205</v>
      </c>
      <c r="G107" s="9">
        <v>0.63</v>
      </c>
      <c r="H107" s="4">
        <v>3.4</v>
      </c>
      <c r="I107" s="4" t="s">
        <v>18</v>
      </c>
      <c r="J107" s="4" t="s">
        <v>724</v>
      </c>
      <c r="K107" s="4" t="s">
        <v>737</v>
      </c>
      <c r="L107" s="4" t="s">
        <v>218</v>
      </c>
      <c r="M107" s="11" t="s">
        <v>949</v>
      </c>
      <c r="Q107" s="4" t="s">
        <v>41</v>
      </c>
      <c r="R107" t="str">
        <f t="shared" si="4"/>
        <v>Succulent</v>
      </c>
      <c r="U107" t="s">
        <v>742</v>
      </c>
      <c r="V107" s="4">
        <v>106</v>
      </c>
      <c r="W107" s="4" t="s">
        <v>216</v>
      </c>
      <c r="X107" s="4" t="str">
        <f t="shared" si="5"/>
        <v>06</v>
      </c>
      <c r="Y107" s="4" t="str">
        <f t="shared" si="6"/>
        <v>106</v>
      </c>
      <c r="Z107" s="4" t="str">
        <f t="shared" si="7"/>
        <v>1754309844</v>
      </c>
    </row>
    <row r="108" spans="1:26" x14ac:dyDescent="0.3">
      <c r="A108" s="4">
        <v>1754309846</v>
      </c>
      <c r="B108" s="4">
        <v>107</v>
      </c>
      <c r="C108" s="4" t="s">
        <v>220</v>
      </c>
      <c r="D108" s="4" t="s">
        <v>802</v>
      </c>
      <c r="E108" s="2">
        <v>499</v>
      </c>
      <c r="F108" s="2">
        <v>180</v>
      </c>
      <c r="G108" s="9">
        <v>0.63</v>
      </c>
      <c r="H108" s="4">
        <v>3.6</v>
      </c>
      <c r="I108" s="4" t="s">
        <v>18</v>
      </c>
      <c r="J108" s="4" t="s">
        <v>729</v>
      </c>
      <c r="K108" s="4" t="s">
        <v>732</v>
      </c>
      <c r="L108" s="4" t="s">
        <v>221</v>
      </c>
      <c r="M108" s="11" t="s">
        <v>949</v>
      </c>
      <c r="Q108" s="4" t="s">
        <v>177</v>
      </c>
      <c r="R108" t="str">
        <f t="shared" si="4"/>
        <v>Flower</v>
      </c>
      <c r="U108" t="s">
        <v>742</v>
      </c>
      <c r="V108" s="4">
        <v>107</v>
      </c>
      <c r="W108" s="4" t="s">
        <v>219</v>
      </c>
      <c r="X108" s="4" t="str">
        <f t="shared" si="5"/>
        <v>07</v>
      </c>
      <c r="Y108" s="4" t="str">
        <f t="shared" si="6"/>
        <v>107</v>
      </c>
      <c r="Z108" s="4" t="str">
        <f t="shared" si="7"/>
        <v>1754309846</v>
      </c>
    </row>
    <row r="109" spans="1:26" x14ac:dyDescent="0.3">
      <c r="A109" s="4">
        <v>1754309849</v>
      </c>
      <c r="B109" s="4">
        <v>108</v>
      </c>
      <c r="C109" s="4" t="s">
        <v>223</v>
      </c>
      <c r="D109" s="4" t="s">
        <v>803</v>
      </c>
      <c r="E109" s="2">
        <v>499</v>
      </c>
      <c r="F109" s="2">
        <v>142</v>
      </c>
      <c r="G109" s="9">
        <v>0.71</v>
      </c>
      <c r="H109" s="4">
        <v>3.3</v>
      </c>
      <c r="I109" s="4" t="s">
        <v>18</v>
      </c>
      <c r="J109" s="4" t="s">
        <v>728</v>
      </c>
      <c r="K109" s="4" t="s">
        <v>737</v>
      </c>
      <c r="L109" s="4" t="s">
        <v>121</v>
      </c>
      <c r="M109" s="11" t="s">
        <v>949</v>
      </c>
      <c r="Q109" s="4" t="s">
        <v>68</v>
      </c>
      <c r="R109" t="str">
        <f t="shared" si="4"/>
        <v>Fruit</v>
      </c>
      <c r="U109" t="s">
        <v>742</v>
      </c>
      <c r="V109" s="4">
        <v>108</v>
      </c>
      <c r="W109" s="4" t="s">
        <v>222</v>
      </c>
      <c r="X109" s="4" t="str">
        <f t="shared" si="5"/>
        <v>08</v>
      </c>
      <c r="Y109" s="4" t="str">
        <f t="shared" si="6"/>
        <v>108</v>
      </c>
      <c r="Z109" s="4" t="str">
        <f t="shared" si="7"/>
        <v>1754309849</v>
      </c>
    </row>
    <row r="110" spans="1:26" x14ac:dyDescent="0.3">
      <c r="A110" s="4">
        <v>1754309852</v>
      </c>
      <c r="B110" s="4">
        <v>109</v>
      </c>
      <c r="C110" s="4" t="s">
        <v>40</v>
      </c>
      <c r="D110" s="4" t="s">
        <v>752</v>
      </c>
      <c r="E110" s="2">
        <v>449</v>
      </c>
      <c r="F110" s="2">
        <v>335</v>
      </c>
      <c r="G110" s="9">
        <v>0.25</v>
      </c>
      <c r="H110" s="4">
        <v>4</v>
      </c>
      <c r="I110" s="4" t="s">
        <v>18</v>
      </c>
      <c r="J110" s="4" t="s">
        <v>724</v>
      </c>
      <c r="K110" s="4" t="s">
        <v>733</v>
      </c>
      <c r="L110" s="4" t="s">
        <v>23</v>
      </c>
      <c r="M110" s="11" t="s">
        <v>949</v>
      </c>
      <c r="Q110" s="4" t="s">
        <v>41</v>
      </c>
      <c r="R110" t="str">
        <f t="shared" si="4"/>
        <v>Succulent</v>
      </c>
      <c r="U110" t="s">
        <v>742</v>
      </c>
      <c r="V110" s="4">
        <v>109</v>
      </c>
      <c r="W110" s="4" t="s">
        <v>224</v>
      </c>
      <c r="X110" s="4" t="str">
        <f t="shared" si="5"/>
        <v>09</v>
      </c>
      <c r="Y110" s="4" t="str">
        <f t="shared" si="6"/>
        <v>109</v>
      </c>
      <c r="Z110" s="4" t="str">
        <f t="shared" si="7"/>
        <v>1754309852</v>
      </c>
    </row>
    <row r="111" spans="1:26" x14ac:dyDescent="0.3">
      <c r="A111" s="4">
        <v>1754309854</v>
      </c>
      <c r="B111" s="4">
        <v>110</v>
      </c>
      <c r="C111" s="4" t="s">
        <v>40</v>
      </c>
      <c r="D111" s="4" t="s">
        <v>752</v>
      </c>
      <c r="E111" s="2">
        <v>499</v>
      </c>
      <c r="F111" s="2">
        <v>426</v>
      </c>
      <c r="G111" s="9">
        <v>0.14000000000000001</v>
      </c>
      <c r="H111" s="4">
        <v>4.2</v>
      </c>
      <c r="I111" s="4" t="s">
        <v>18</v>
      </c>
      <c r="J111" s="4" t="s">
        <v>724</v>
      </c>
      <c r="K111" s="4" t="s">
        <v>733</v>
      </c>
      <c r="L111" s="4" t="s">
        <v>23</v>
      </c>
      <c r="M111" s="11" t="s">
        <v>949</v>
      </c>
      <c r="Q111" s="4" t="s">
        <v>41</v>
      </c>
      <c r="R111" t="str">
        <f t="shared" si="4"/>
        <v>Succulent</v>
      </c>
      <c r="U111" t="s">
        <v>742</v>
      </c>
      <c r="V111" s="4">
        <v>110</v>
      </c>
      <c r="W111" s="4" t="s">
        <v>225</v>
      </c>
      <c r="X111" s="4" t="str">
        <f t="shared" si="5"/>
        <v>10</v>
      </c>
      <c r="Y111" s="4" t="str">
        <f t="shared" si="6"/>
        <v>110</v>
      </c>
      <c r="Z111" s="4" t="str">
        <f t="shared" si="7"/>
        <v>1754309854</v>
      </c>
    </row>
    <row r="112" spans="1:26" x14ac:dyDescent="0.3">
      <c r="A112" s="4">
        <v>1754309857</v>
      </c>
      <c r="B112" s="4">
        <v>111</v>
      </c>
      <c r="C112" s="4" t="s">
        <v>227</v>
      </c>
      <c r="D112" s="4" t="s">
        <v>804</v>
      </c>
      <c r="E112" s="2">
        <v>499</v>
      </c>
      <c r="F112" s="2">
        <v>172</v>
      </c>
      <c r="G112" s="9">
        <v>0.65</v>
      </c>
      <c r="H112" s="4">
        <v>4</v>
      </c>
      <c r="I112" s="4" t="s">
        <v>13</v>
      </c>
      <c r="J112" s="4" t="s">
        <v>725</v>
      </c>
      <c r="K112" s="4" t="s">
        <v>733</v>
      </c>
      <c r="L112" s="4" t="s">
        <v>29</v>
      </c>
      <c r="M112" s="11" t="s">
        <v>949</v>
      </c>
      <c r="Q112" s="4" t="s">
        <v>47</v>
      </c>
      <c r="R112" t="str">
        <f t="shared" si="4"/>
        <v>Air purifier plant</v>
      </c>
      <c r="U112" t="s">
        <v>742</v>
      </c>
      <c r="V112" s="4">
        <v>111</v>
      </c>
      <c r="W112" s="4" t="s">
        <v>226</v>
      </c>
      <c r="X112" s="4" t="str">
        <f t="shared" si="5"/>
        <v>11</v>
      </c>
      <c r="Y112" s="4" t="str">
        <f t="shared" si="6"/>
        <v>111</v>
      </c>
      <c r="Z112" s="4" t="str">
        <f t="shared" si="7"/>
        <v>1754309857</v>
      </c>
    </row>
    <row r="113" spans="1:26" x14ac:dyDescent="0.3">
      <c r="A113" s="4">
        <v>1754309859</v>
      </c>
      <c r="B113" s="4">
        <v>112</v>
      </c>
      <c r="C113" s="4" t="s">
        <v>229</v>
      </c>
      <c r="D113" s="4" t="s">
        <v>805</v>
      </c>
      <c r="E113" s="2">
        <v>499</v>
      </c>
      <c r="F113" s="2">
        <v>130</v>
      </c>
      <c r="G113" s="9">
        <v>0.73</v>
      </c>
      <c r="H113" s="4">
        <v>3.4</v>
      </c>
      <c r="I113" s="4" t="s">
        <v>13</v>
      </c>
      <c r="J113" s="4" t="s">
        <v>728</v>
      </c>
      <c r="K113" s="4" t="s">
        <v>732</v>
      </c>
      <c r="L113" s="4" t="s">
        <v>230</v>
      </c>
      <c r="M113" s="11" t="s">
        <v>949</v>
      </c>
      <c r="Q113" s="4" t="s">
        <v>68</v>
      </c>
      <c r="R113" t="str">
        <f t="shared" si="4"/>
        <v>Fruit</v>
      </c>
      <c r="U113" t="s">
        <v>742</v>
      </c>
      <c r="V113" s="4">
        <v>112</v>
      </c>
      <c r="W113" s="4" t="s">
        <v>228</v>
      </c>
      <c r="X113" s="4" t="str">
        <f t="shared" si="5"/>
        <v>12</v>
      </c>
      <c r="Y113" s="4" t="str">
        <f t="shared" si="6"/>
        <v>112</v>
      </c>
      <c r="Z113" s="4" t="str">
        <f t="shared" si="7"/>
        <v>1754309859</v>
      </c>
    </row>
    <row r="114" spans="1:26" x14ac:dyDescent="0.3">
      <c r="A114" s="4">
        <v>1754309861</v>
      </c>
      <c r="B114" s="4">
        <v>113</v>
      </c>
      <c r="C114" s="4" t="s">
        <v>40</v>
      </c>
      <c r="D114" s="4" t="s">
        <v>752</v>
      </c>
      <c r="E114" s="2">
        <v>499</v>
      </c>
      <c r="F114" s="2">
        <v>335</v>
      </c>
      <c r="G114" s="9">
        <v>0.32</v>
      </c>
      <c r="H114" s="4">
        <v>4</v>
      </c>
      <c r="I114" s="4" t="s">
        <v>18</v>
      </c>
      <c r="J114" s="4" t="s">
        <v>724</v>
      </c>
      <c r="K114" s="4" t="s">
        <v>733</v>
      </c>
      <c r="L114" s="4" t="s">
        <v>23</v>
      </c>
      <c r="M114" s="11" t="s">
        <v>949</v>
      </c>
      <c r="Q114" s="4" t="s">
        <v>41</v>
      </c>
      <c r="R114" t="str">
        <f t="shared" si="4"/>
        <v>Succulent</v>
      </c>
      <c r="U114" t="s">
        <v>742</v>
      </c>
      <c r="V114" s="4">
        <v>113</v>
      </c>
      <c r="W114" s="4" t="s">
        <v>231</v>
      </c>
      <c r="X114" s="4" t="str">
        <f t="shared" si="5"/>
        <v>13</v>
      </c>
      <c r="Y114" s="4" t="str">
        <f t="shared" si="6"/>
        <v>113</v>
      </c>
      <c r="Z114" s="4" t="str">
        <f t="shared" si="7"/>
        <v>1754309861</v>
      </c>
    </row>
    <row r="115" spans="1:26" x14ac:dyDescent="0.3">
      <c r="A115" s="4">
        <v>1754309864</v>
      </c>
      <c r="B115" s="4">
        <v>114</v>
      </c>
      <c r="C115" s="4" t="s">
        <v>21</v>
      </c>
      <c r="D115" s="4" t="s">
        <v>745</v>
      </c>
      <c r="E115" s="2">
        <v>445</v>
      </c>
      <c r="F115" s="2">
        <v>335</v>
      </c>
      <c r="G115" s="9">
        <v>0.24</v>
      </c>
      <c r="H115" s="4">
        <v>4.4000000000000004</v>
      </c>
      <c r="I115" s="4" t="s">
        <v>18</v>
      </c>
      <c r="J115" s="4" t="s">
        <v>722</v>
      </c>
      <c r="K115" s="4" t="s">
        <v>733</v>
      </c>
      <c r="L115" s="4" t="s">
        <v>23</v>
      </c>
      <c r="M115" s="11" t="s">
        <v>949</v>
      </c>
      <c r="Q115" s="4" t="s">
        <v>22</v>
      </c>
      <c r="R115" t="str">
        <f t="shared" si="4"/>
        <v>Shrub</v>
      </c>
      <c r="U115" t="s">
        <v>746</v>
      </c>
      <c r="V115" s="4">
        <v>114</v>
      </c>
      <c r="W115" s="4" t="s">
        <v>232</v>
      </c>
      <c r="X115" s="4" t="str">
        <f t="shared" si="5"/>
        <v>14</v>
      </c>
      <c r="Y115" s="4" t="str">
        <f t="shared" si="6"/>
        <v>114</v>
      </c>
      <c r="Z115" s="4" t="str">
        <f t="shared" si="7"/>
        <v>1754309864</v>
      </c>
    </row>
    <row r="116" spans="1:26" x14ac:dyDescent="0.3">
      <c r="A116" s="4">
        <v>1754309866</v>
      </c>
      <c r="B116" s="4">
        <v>115</v>
      </c>
      <c r="C116" s="4" t="s">
        <v>234</v>
      </c>
      <c r="D116" s="4" t="s">
        <v>806</v>
      </c>
      <c r="E116" s="2">
        <v>449</v>
      </c>
      <c r="F116" s="2">
        <v>253</v>
      </c>
      <c r="G116" s="9">
        <v>0.43</v>
      </c>
      <c r="H116" s="4">
        <v>3.7</v>
      </c>
      <c r="I116" s="4" t="s">
        <v>18</v>
      </c>
      <c r="J116" s="4" t="s">
        <v>731</v>
      </c>
      <c r="K116" s="4" t="s">
        <v>732</v>
      </c>
      <c r="L116" s="4" t="s">
        <v>236</v>
      </c>
      <c r="M116" s="11" t="s">
        <v>949</v>
      </c>
      <c r="Q116" s="4" t="s">
        <v>235</v>
      </c>
      <c r="R116" t="str">
        <f t="shared" si="4"/>
        <v>Creepers and Climbers</v>
      </c>
      <c r="U116" t="s">
        <v>746</v>
      </c>
      <c r="V116" s="4">
        <v>115</v>
      </c>
      <c r="W116" s="4" t="s">
        <v>233</v>
      </c>
      <c r="X116" s="4" t="str">
        <f t="shared" si="5"/>
        <v>15</v>
      </c>
      <c r="Y116" s="4" t="str">
        <f t="shared" si="6"/>
        <v>115</v>
      </c>
      <c r="Z116" s="4" t="str">
        <f t="shared" si="7"/>
        <v>1754309866</v>
      </c>
    </row>
    <row r="117" spans="1:26" x14ac:dyDescent="0.3">
      <c r="A117" s="4">
        <v>1754309869</v>
      </c>
      <c r="B117" s="4">
        <v>116</v>
      </c>
      <c r="C117" s="4" t="s">
        <v>238</v>
      </c>
      <c r="D117" s="4" t="s">
        <v>807</v>
      </c>
      <c r="E117" s="2">
        <v>999</v>
      </c>
      <c r="F117" s="2">
        <v>179</v>
      </c>
      <c r="G117" s="9">
        <v>0.82</v>
      </c>
      <c r="H117" s="4">
        <v>4</v>
      </c>
      <c r="I117" s="4" t="s">
        <v>13</v>
      </c>
      <c r="J117" s="4" t="s">
        <v>730</v>
      </c>
      <c r="K117" s="4" t="s">
        <v>732</v>
      </c>
      <c r="L117" s="4" t="s">
        <v>239</v>
      </c>
      <c r="M117" s="11" t="s">
        <v>949</v>
      </c>
      <c r="Q117" s="4" t="s">
        <v>180</v>
      </c>
      <c r="R117" t="str">
        <f t="shared" si="4"/>
        <v>Tree</v>
      </c>
      <c r="U117" t="s">
        <v>742</v>
      </c>
      <c r="V117" s="4">
        <v>116</v>
      </c>
      <c r="W117" s="4" t="s">
        <v>237</v>
      </c>
      <c r="X117" s="4" t="str">
        <f t="shared" si="5"/>
        <v>16</v>
      </c>
      <c r="Y117" s="4" t="str">
        <f t="shared" si="6"/>
        <v>116</v>
      </c>
      <c r="Z117" s="4" t="str">
        <f t="shared" si="7"/>
        <v>1754309869</v>
      </c>
    </row>
    <row r="118" spans="1:26" x14ac:dyDescent="0.3">
      <c r="A118" s="4">
        <v>1754309872</v>
      </c>
      <c r="B118" s="4">
        <v>117</v>
      </c>
      <c r="C118" s="4" t="s">
        <v>241</v>
      </c>
      <c r="D118" s="4" t="s">
        <v>808</v>
      </c>
      <c r="E118" s="2">
        <v>659</v>
      </c>
      <c r="F118" s="2">
        <v>121</v>
      </c>
      <c r="G118" s="9">
        <v>0.81</v>
      </c>
      <c r="H118" s="4">
        <v>3.5</v>
      </c>
      <c r="I118" s="4" t="s">
        <v>18</v>
      </c>
      <c r="J118" s="4" t="s">
        <v>728</v>
      </c>
      <c r="K118" s="4" t="s">
        <v>732</v>
      </c>
      <c r="L118" s="4" t="s">
        <v>204</v>
      </c>
      <c r="M118" s="11" t="s">
        <v>949</v>
      </c>
      <c r="Q118" s="4" t="s">
        <v>68</v>
      </c>
      <c r="R118" t="str">
        <f t="shared" si="4"/>
        <v>Fruit</v>
      </c>
      <c r="U118" t="s">
        <v>742</v>
      </c>
      <c r="V118" s="4">
        <v>117</v>
      </c>
      <c r="W118" s="4" t="s">
        <v>240</v>
      </c>
      <c r="X118" s="4" t="str">
        <f t="shared" si="5"/>
        <v>17</v>
      </c>
      <c r="Y118" s="4" t="str">
        <f t="shared" si="6"/>
        <v>117</v>
      </c>
      <c r="Z118" s="4" t="str">
        <f t="shared" si="7"/>
        <v>1754309872</v>
      </c>
    </row>
    <row r="119" spans="1:26" x14ac:dyDescent="0.3">
      <c r="A119" s="4">
        <v>1754309874</v>
      </c>
      <c r="B119" s="4">
        <v>118</v>
      </c>
      <c r="C119" s="4" t="s">
        <v>243</v>
      </c>
      <c r="D119" s="4" t="s">
        <v>809</v>
      </c>
      <c r="E119" s="2">
        <v>399</v>
      </c>
      <c r="F119" s="2">
        <v>169</v>
      </c>
      <c r="G119" s="9">
        <v>0.56999999999999995</v>
      </c>
      <c r="H119" s="4">
        <v>4</v>
      </c>
      <c r="I119" s="4" t="s">
        <v>13</v>
      </c>
      <c r="J119" s="4" t="s">
        <v>724</v>
      </c>
      <c r="K119" s="4" t="s">
        <v>737</v>
      </c>
      <c r="L119" s="4" t="s">
        <v>244</v>
      </c>
      <c r="M119" s="11" t="s">
        <v>949</v>
      </c>
      <c r="Q119" s="4" t="s">
        <v>41</v>
      </c>
      <c r="R119" t="str">
        <f t="shared" si="4"/>
        <v>Succulent</v>
      </c>
      <c r="U119" t="s">
        <v>742</v>
      </c>
      <c r="V119" s="4">
        <v>118</v>
      </c>
      <c r="W119" s="4" t="s">
        <v>242</v>
      </c>
      <c r="X119" s="4" t="str">
        <f t="shared" si="5"/>
        <v>18</v>
      </c>
      <c r="Y119" s="4" t="str">
        <f t="shared" si="6"/>
        <v>118</v>
      </c>
      <c r="Z119" s="4" t="str">
        <f t="shared" si="7"/>
        <v>1754309874</v>
      </c>
    </row>
    <row r="120" spans="1:26" x14ac:dyDescent="0.3">
      <c r="A120" s="4">
        <v>1754309877</v>
      </c>
      <c r="B120" s="4">
        <v>119</v>
      </c>
      <c r="C120" s="4" t="s">
        <v>40</v>
      </c>
      <c r="D120" s="4" t="s">
        <v>752</v>
      </c>
      <c r="E120" s="2">
        <v>495</v>
      </c>
      <c r="F120" s="2">
        <v>331</v>
      </c>
      <c r="G120" s="9">
        <v>0.33</v>
      </c>
      <c r="H120" s="4">
        <v>4.0999999999999996</v>
      </c>
      <c r="I120" s="4" t="s">
        <v>18</v>
      </c>
      <c r="J120" s="4" t="s">
        <v>724</v>
      </c>
      <c r="K120" s="4" t="s">
        <v>733</v>
      </c>
      <c r="L120" s="4" t="s">
        <v>23</v>
      </c>
      <c r="M120" s="11" t="s">
        <v>949</v>
      </c>
      <c r="Q120" s="4" t="s">
        <v>41</v>
      </c>
      <c r="R120" t="str">
        <f t="shared" si="4"/>
        <v>Succulent</v>
      </c>
      <c r="U120" t="s">
        <v>742</v>
      </c>
      <c r="V120" s="4">
        <v>119</v>
      </c>
      <c r="W120" s="4" t="s">
        <v>245</v>
      </c>
      <c r="X120" s="4" t="str">
        <f t="shared" si="5"/>
        <v>19</v>
      </c>
      <c r="Y120" s="4" t="str">
        <f t="shared" si="6"/>
        <v>119</v>
      </c>
      <c r="Z120" s="4" t="str">
        <f t="shared" si="7"/>
        <v>1754309877</v>
      </c>
    </row>
    <row r="121" spans="1:26" x14ac:dyDescent="0.3">
      <c r="A121" s="4">
        <v>1754309879</v>
      </c>
      <c r="B121" s="4">
        <v>120</v>
      </c>
      <c r="C121" s="4" t="s">
        <v>40</v>
      </c>
      <c r="D121" s="4" t="s">
        <v>752</v>
      </c>
      <c r="E121" s="2">
        <v>349</v>
      </c>
      <c r="F121" s="2">
        <v>325</v>
      </c>
      <c r="G121" s="9">
        <v>0.06</v>
      </c>
      <c r="H121" s="4">
        <v>4</v>
      </c>
      <c r="I121" s="4" t="s">
        <v>18</v>
      </c>
      <c r="J121" s="4" t="s">
        <v>724</v>
      </c>
      <c r="K121" s="4" t="s">
        <v>733</v>
      </c>
      <c r="L121" s="4" t="s">
        <v>23</v>
      </c>
      <c r="M121" s="11" t="s">
        <v>949</v>
      </c>
      <c r="Q121" s="4" t="s">
        <v>41</v>
      </c>
      <c r="R121" t="str">
        <f t="shared" si="4"/>
        <v>Succulent</v>
      </c>
      <c r="U121" t="s">
        <v>746</v>
      </c>
      <c r="V121" s="4">
        <v>120</v>
      </c>
      <c r="W121" s="4" t="s">
        <v>246</v>
      </c>
      <c r="X121" s="4" t="str">
        <f t="shared" si="5"/>
        <v>20</v>
      </c>
      <c r="Y121" s="4" t="str">
        <f t="shared" si="6"/>
        <v>120</v>
      </c>
      <c r="Z121" s="4" t="str">
        <f t="shared" si="7"/>
        <v>1754309879</v>
      </c>
    </row>
    <row r="122" spans="1:26" x14ac:dyDescent="0.3">
      <c r="A122" s="4">
        <v>1754309884</v>
      </c>
      <c r="B122" s="4">
        <v>121</v>
      </c>
      <c r="C122" s="4" t="s">
        <v>248</v>
      </c>
      <c r="D122" s="4" t="s">
        <v>810</v>
      </c>
      <c r="E122" s="2">
        <v>299</v>
      </c>
      <c r="F122" s="2">
        <v>139</v>
      </c>
      <c r="G122" s="9">
        <v>0.53</v>
      </c>
      <c r="H122" s="4">
        <v>4</v>
      </c>
      <c r="I122" s="4" t="s">
        <v>249</v>
      </c>
      <c r="J122" s="4" t="s">
        <v>729</v>
      </c>
      <c r="K122" s="4" t="s">
        <v>737</v>
      </c>
      <c r="L122" s="4" t="s">
        <v>250</v>
      </c>
      <c r="M122" s="11" t="s">
        <v>949</v>
      </c>
      <c r="Q122" s="4" t="s">
        <v>177</v>
      </c>
      <c r="R122" t="str">
        <f t="shared" si="4"/>
        <v>Flower</v>
      </c>
      <c r="U122" t="s">
        <v>742</v>
      </c>
      <c r="V122" s="4">
        <v>121</v>
      </c>
      <c r="W122" s="4" t="s">
        <v>247</v>
      </c>
      <c r="X122" s="4" t="str">
        <f t="shared" si="5"/>
        <v>21</v>
      </c>
      <c r="Y122" s="4" t="str">
        <f t="shared" si="6"/>
        <v>121</v>
      </c>
      <c r="Z122" s="4" t="str">
        <f t="shared" si="7"/>
        <v>1754309884</v>
      </c>
    </row>
    <row r="123" spans="1:26" x14ac:dyDescent="0.3">
      <c r="A123" s="4">
        <v>1754309887</v>
      </c>
      <c r="B123" s="4">
        <v>122</v>
      </c>
      <c r="C123" s="4" t="s">
        <v>252</v>
      </c>
      <c r="D123" s="4" t="s">
        <v>811</v>
      </c>
      <c r="E123" s="2">
        <v>499</v>
      </c>
      <c r="F123" s="2">
        <v>140</v>
      </c>
      <c r="G123" s="9">
        <v>0.71</v>
      </c>
      <c r="H123" s="4">
        <v>3.5</v>
      </c>
      <c r="I123" s="4" t="s">
        <v>13</v>
      </c>
      <c r="J123" s="4" t="s">
        <v>728</v>
      </c>
      <c r="K123" s="4" t="s">
        <v>732</v>
      </c>
      <c r="L123" s="4" t="s">
        <v>253</v>
      </c>
      <c r="M123" s="11" t="s">
        <v>949</v>
      </c>
      <c r="Q123" s="4" t="s">
        <v>68</v>
      </c>
      <c r="R123" t="str">
        <f t="shared" si="4"/>
        <v>Fruit</v>
      </c>
      <c r="U123" t="s">
        <v>742</v>
      </c>
      <c r="V123" s="4">
        <v>122</v>
      </c>
      <c r="W123" s="4" t="s">
        <v>251</v>
      </c>
      <c r="X123" s="4" t="str">
        <f t="shared" si="5"/>
        <v>22</v>
      </c>
      <c r="Y123" s="4" t="str">
        <f t="shared" si="6"/>
        <v>122</v>
      </c>
      <c r="Z123" s="4" t="str">
        <f t="shared" si="7"/>
        <v>1754309887</v>
      </c>
    </row>
    <row r="124" spans="1:26" x14ac:dyDescent="0.3">
      <c r="A124" s="4">
        <v>1754309889</v>
      </c>
      <c r="B124" s="4">
        <v>123</v>
      </c>
      <c r="C124" s="4" t="s">
        <v>21</v>
      </c>
      <c r="D124" s="4" t="s">
        <v>745</v>
      </c>
      <c r="E124" s="2">
        <v>449</v>
      </c>
      <c r="F124" s="2">
        <v>384</v>
      </c>
      <c r="G124" s="9">
        <v>0.14000000000000001</v>
      </c>
      <c r="H124" s="4">
        <v>4.4000000000000004</v>
      </c>
      <c r="I124" s="4" t="s">
        <v>18</v>
      </c>
      <c r="J124" s="4" t="s">
        <v>722</v>
      </c>
      <c r="K124" s="4" t="s">
        <v>733</v>
      </c>
      <c r="L124" s="4" t="s">
        <v>23</v>
      </c>
      <c r="M124" s="11" t="s">
        <v>949</v>
      </c>
      <c r="Q124" s="4" t="s">
        <v>22</v>
      </c>
      <c r="R124" t="str">
        <f t="shared" si="4"/>
        <v>Shrub</v>
      </c>
      <c r="U124" t="s">
        <v>746</v>
      </c>
      <c r="V124" s="4">
        <v>123</v>
      </c>
      <c r="W124" s="4" t="s">
        <v>254</v>
      </c>
      <c r="X124" s="4" t="str">
        <f t="shared" si="5"/>
        <v>23</v>
      </c>
      <c r="Y124" s="4" t="str">
        <f t="shared" si="6"/>
        <v>123</v>
      </c>
      <c r="Z124" s="4" t="str">
        <f t="shared" si="7"/>
        <v>1754309889</v>
      </c>
    </row>
    <row r="125" spans="1:26" x14ac:dyDescent="0.3">
      <c r="A125" s="4">
        <v>1754309892</v>
      </c>
      <c r="B125" s="4">
        <v>124</v>
      </c>
      <c r="C125" s="4" t="s">
        <v>25</v>
      </c>
      <c r="D125" s="4" t="s">
        <v>747</v>
      </c>
      <c r="E125" s="2">
        <v>449</v>
      </c>
      <c r="F125" s="2">
        <v>349</v>
      </c>
      <c r="G125" s="9">
        <v>0.22</v>
      </c>
      <c r="H125" s="4">
        <v>4.3</v>
      </c>
      <c r="I125" s="4" t="s">
        <v>18</v>
      </c>
      <c r="J125" s="4" t="s">
        <v>722</v>
      </c>
      <c r="K125" s="4" t="s">
        <v>733</v>
      </c>
      <c r="L125" s="4" t="s">
        <v>23</v>
      </c>
      <c r="M125" s="11" t="s">
        <v>949</v>
      </c>
      <c r="Q125" s="4" t="s">
        <v>22</v>
      </c>
      <c r="R125" t="str">
        <f t="shared" si="4"/>
        <v>Shrub</v>
      </c>
      <c r="U125" t="s">
        <v>746</v>
      </c>
      <c r="V125" s="4">
        <v>124</v>
      </c>
      <c r="W125" s="4" t="s">
        <v>255</v>
      </c>
      <c r="X125" s="4" t="str">
        <f t="shared" si="5"/>
        <v>24</v>
      </c>
      <c r="Y125" s="4" t="str">
        <f t="shared" si="6"/>
        <v>124</v>
      </c>
      <c r="Z125" s="4" t="str">
        <f t="shared" si="7"/>
        <v>1754309892</v>
      </c>
    </row>
    <row r="126" spans="1:26" x14ac:dyDescent="0.3">
      <c r="A126" s="4">
        <v>1754309894</v>
      </c>
      <c r="B126" s="4">
        <v>125</v>
      </c>
      <c r="C126" s="4" t="s">
        <v>257</v>
      </c>
      <c r="D126" s="4" t="s">
        <v>812</v>
      </c>
      <c r="E126" s="2">
        <v>599</v>
      </c>
      <c r="F126" s="2">
        <v>135</v>
      </c>
      <c r="G126" s="9">
        <v>0.77</v>
      </c>
      <c r="H126" s="4">
        <v>4.0999999999999996</v>
      </c>
      <c r="I126" s="4" t="s">
        <v>18</v>
      </c>
      <c r="J126" s="4" t="s">
        <v>723</v>
      </c>
      <c r="K126" s="4" t="s">
        <v>732</v>
      </c>
      <c r="L126" s="4" t="s">
        <v>29</v>
      </c>
      <c r="M126" s="11" t="s">
        <v>949</v>
      </c>
      <c r="Q126" s="4" t="s">
        <v>28</v>
      </c>
      <c r="R126" t="str">
        <f t="shared" si="4"/>
        <v>Herb</v>
      </c>
      <c r="U126" t="s">
        <v>746</v>
      </c>
      <c r="V126" s="4">
        <v>125</v>
      </c>
      <c r="W126" s="4" t="s">
        <v>256</v>
      </c>
      <c r="X126" s="4" t="str">
        <f t="shared" si="5"/>
        <v>25</v>
      </c>
      <c r="Y126" s="4" t="str">
        <f t="shared" si="6"/>
        <v>125</v>
      </c>
      <c r="Z126" s="4" t="str">
        <f t="shared" si="7"/>
        <v>1754309894</v>
      </c>
    </row>
    <row r="127" spans="1:26" x14ac:dyDescent="0.3">
      <c r="A127" s="4">
        <v>1754309897</v>
      </c>
      <c r="B127" s="4">
        <v>126</v>
      </c>
      <c r="C127" s="4" t="s">
        <v>128</v>
      </c>
      <c r="D127" s="4" t="s">
        <v>775</v>
      </c>
      <c r="E127" s="2">
        <v>299</v>
      </c>
      <c r="F127" s="2">
        <v>158</v>
      </c>
      <c r="G127" s="9">
        <v>0.47</v>
      </c>
      <c r="H127" s="4">
        <v>3.6</v>
      </c>
      <c r="I127" s="4" t="s">
        <v>18</v>
      </c>
      <c r="J127" s="4" t="s">
        <v>728</v>
      </c>
      <c r="K127" s="4" t="s">
        <v>732</v>
      </c>
      <c r="L127" s="4" t="s">
        <v>44</v>
      </c>
      <c r="M127" s="11" t="s">
        <v>949</v>
      </c>
      <c r="Q127" s="4" t="s">
        <v>68</v>
      </c>
      <c r="R127" t="str">
        <f t="shared" si="4"/>
        <v>Fruit</v>
      </c>
      <c r="U127" t="s">
        <v>742</v>
      </c>
      <c r="V127" s="4">
        <v>126</v>
      </c>
      <c r="W127" s="4" t="s">
        <v>258</v>
      </c>
      <c r="X127" s="4" t="str">
        <f t="shared" si="5"/>
        <v>26</v>
      </c>
      <c r="Y127" s="4" t="str">
        <f t="shared" si="6"/>
        <v>126</v>
      </c>
      <c r="Z127" s="4" t="str">
        <f t="shared" si="7"/>
        <v>1754309897</v>
      </c>
    </row>
    <row r="128" spans="1:26" x14ac:dyDescent="0.3">
      <c r="A128" s="4">
        <v>1754309899</v>
      </c>
      <c r="B128" s="4">
        <v>127</v>
      </c>
      <c r="C128" s="4" t="s">
        <v>260</v>
      </c>
      <c r="D128" s="4" t="s">
        <v>813</v>
      </c>
      <c r="E128" s="2">
        <v>399</v>
      </c>
      <c r="F128" s="2">
        <v>210</v>
      </c>
      <c r="G128" s="9">
        <v>0.47</v>
      </c>
      <c r="H128" s="4">
        <v>3.2</v>
      </c>
      <c r="I128" s="4" t="s">
        <v>18</v>
      </c>
      <c r="J128" s="4" t="s">
        <v>728</v>
      </c>
      <c r="K128" s="4" t="s">
        <v>732</v>
      </c>
      <c r="L128" s="4" t="s">
        <v>261</v>
      </c>
      <c r="M128" s="11" t="s">
        <v>949</v>
      </c>
      <c r="Q128" s="4" t="s">
        <v>68</v>
      </c>
      <c r="R128" t="str">
        <f t="shared" si="4"/>
        <v>Fruit</v>
      </c>
      <c r="U128" t="s">
        <v>742</v>
      </c>
      <c r="V128" s="4">
        <v>127</v>
      </c>
      <c r="W128" s="4" t="s">
        <v>259</v>
      </c>
      <c r="X128" s="4" t="str">
        <f t="shared" si="5"/>
        <v>27</v>
      </c>
      <c r="Y128" s="4" t="str">
        <f t="shared" si="6"/>
        <v>127</v>
      </c>
      <c r="Z128" s="4" t="str">
        <f t="shared" si="7"/>
        <v>1754309899</v>
      </c>
    </row>
    <row r="129" spans="1:26" x14ac:dyDescent="0.3">
      <c r="A129" s="4">
        <v>1754309902</v>
      </c>
      <c r="B129" s="4">
        <v>128</v>
      </c>
      <c r="C129" s="4" t="s">
        <v>263</v>
      </c>
      <c r="D129" s="4" t="s">
        <v>814</v>
      </c>
      <c r="E129" s="2">
        <v>799</v>
      </c>
      <c r="F129" s="2">
        <v>205</v>
      </c>
      <c r="G129" s="9">
        <v>0.74</v>
      </c>
      <c r="H129" s="4">
        <v>4</v>
      </c>
      <c r="I129" s="4" t="s">
        <v>18</v>
      </c>
      <c r="J129" s="4" t="s">
        <v>728</v>
      </c>
      <c r="K129" s="4" t="s">
        <v>737</v>
      </c>
      <c r="L129" s="4" t="s">
        <v>29</v>
      </c>
      <c r="M129" s="11" t="s">
        <v>949</v>
      </c>
      <c r="Q129" s="4" t="s">
        <v>68</v>
      </c>
      <c r="R129" t="str">
        <f t="shared" si="4"/>
        <v>Fruit</v>
      </c>
      <c r="U129" t="s">
        <v>742</v>
      </c>
      <c r="V129" s="4">
        <v>128</v>
      </c>
      <c r="W129" s="4" t="s">
        <v>262</v>
      </c>
      <c r="X129" s="4" t="str">
        <f t="shared" si="5"/>
        <v>28</v>
      </c>
      <c r="Y129" s="4" t="str">
        <f t="shared" si="6"/>
        <v>128</v>
      </c>
      <c r="Z129" s="4" t="str">
        <f t="shared" si="7"/>
        <v>1754309902</v>
      </c>
    </row>
    <row r="130" spans="1:26" x14ac:dyDescent="0.3">
      <c r="A130" s="4">
        <v>1754309905</v>
      </c>
      <c r="B130" s="4">
        <v>129</v>
      </c>
      <c r="C130" s="4" t="s">
        <v>21</v>
      </c>
      <c r="D130" s="4" t="s">
        <v>745</v>
      </c>
      <c r="E130" s="2">
        <v>449</v>
      </c>
      <c r="F130" s="2">
        <v>384</v>
      </c>
      <c r="G130" s="9">
        <v>0.14000000000000001</v>
      </c>
      <c r="H130" s="4">
        <v>4.4000000000000004</v>
      </c>
      <c r="I130" s="4" t="s">
        <v>18</v>
      </c>
      <c r="J130" s="4" t="s">
        <v>722</v>
      </c>
      <c r="K130" s="4" t="s">
        <v>733</v>
      </c>
      <c r="L130" s="4" t="s">
        <v>23</v>
      </c>
      <c r="M130" s="11" t="s">
        <v>949</v>
      </c>
      <c r="Q130" s="4" t="s">
        <v>22</v>
      </c>
      <c r="R130" t="str">
        <f t="shared" si="4"/>
        <v>Shrub</v>
      </c>
      <c r="U130" t="s">
        <v>746</v>
      </c>
      <c r="V130" s="4">
        <v>129</v>
      </c>
      <c r="W130" s="4" t="s">
        <v>264</v>
      </c>
      <c r="X130" s="4" t="str">
        <f t="shared" si="5"/>
        <v>29</v>
      </c>
      <c r="Y130" s="4" t="str">
        <f t="shared" si="6"/>
        <v>129</v>
      </c>
      <c r="Z130" s="4" t="str">
        <f t="shared" si="7"/>
        <v>1754309905</v>
      </c>
    </row>
    <row r="131" spans="1:26" x14ac:dyDescent="0.3">
      <c r="A131" s="4">
        <v>1754309907</v>
      </c>
      <c r="B131" s="4">
        <v>130</v>
      </c>
      <c r="C131" s="4" t="s">
        <v>40</v>
      </c>
      <c r="D131" s="4" t="s">
        <v>752</v>
      </c>
      <c r="E131" s="2">
        <v>499</v>
      </c>
      <c r="F131" s="2">
        <v>335</v>
      </c>
      <c r="G131" s="9">
        <v>0.32</v>
      </c>
      <c r="H131" s="4">
        <v>4</v>
      </c>
      <c r="I131" s="4" t="s">
        <v>18</v>
      </c>
      <c r="J131" s="4" t="s">
        <v>724</v>
      </c>
      <c r="K131" s="4" t="s">
        <v>733</v>
      </c>
      <c r="L131" s="4" t="s">
        <v>23</v>
      </c>
      <c r="M131" s="11" t="s">
        <v>949</v>
      </c>
      <c r="Q131" s="4" t="s">
        <v>41</v>
      </c>
      <c r="R131" t="str">
        <f t="shared" ref="R131:R194" si="8">RIGHT(Q131,LEN(Q131)-FIND(" ",Q131,1))</f>
        <v>Succulent</v>
      </c>
      <c r="U131" t="s">
        <v>742</v>
      </c>
      <c r="V131" s="4">
        <v>130</v>
      </c>
      <c r="W131" s="4" t="s">
        <v>265</v>
      </c>
      <c r="X131" s="4" t="str">
        <f t="shared" ref="X131:X194" si="9">RIGHT(W131,2)</f>
        <v>30</v>
      </c>
      <c r="Y131" s="4" t="str">
        <f t="shared" ref="Y131:Y194" si="10">RIGHT(W131,LEN(W131)-FIND("-",W131,1))</f>
        <v>130</v>
      </c>
      <c r="Z131" s="4" t="str">
        <f t="shared" ref="Z131:Z194" si="11">LEFT(W131,FIND("-",W131,1)-1)</f>
        <v>1754309907</v>
      </c>
    </row>
    <row r="132" spans="1:26" x14ac:dyDescent="0.3">
      <c r="A132" s="4">
        <v>1754309910</v>
      </c>
      <c r="B132" s="4">
        <v>131</v>
      </c>
      <c r="C132" s="4" t="s">
        <v>267</v>
      </c>
      <c r="D132" s="4" t="s">
        <v>815</v>
      </c>
      <c r="E132" s="2">
        <v>1200</v>
      </c>
      <c r="F132" s="2">
        <v>177</v>
      </c>
      <c r="G132" s="9">
        <v>0.85</v>
      </c>
      <c r="H132" s="4">
        <v>4</v>
      </c>
      <c r="I132" s="4" t="s">
        <v>13</v>
      </c>
      <c r="J132" s="4" t="s">
        <v>727</v>
      </c>
      <c r="K132" s="4" t="s">
        <v>737</v>
      </c>
      <c r="L132" s="4" t="s">
        <v>29</v>
      </c>
      <c r="M132" s="11" t="s">
        <v>949</v>
      </c>
      <c r="Q132" s="4" t="s">
        <v>56</v>
      </c>
      <c r="R132" t="str">
        <f t="shared" si="8"/>
        <v>Bamboo</v>
      </c>
      <c r="U132" t="s">
        <v>746</v>
      </c>
      <c r="V132" s="4">
        <v>131</v>
      </c>
      <c r="W132" s="4" t="s">
        <v>266</v>
      </c>
      <c r="X132" s="4" t="str">
        <f t="shared" si="9"/>
        <v>31</v>
      </c>
      <c r="Y132" s="4" t="str">
        <f t="shared" si="10"/>
        <v>131</v>
      </c>
      <c r="Z132" s="4" t="str">
        <f t="shared" si="11"/>
        <v>1754309910</v>
      </c>
    </row>
    <row r="133" spans="1:26" x14ac:dyDescent="0.3">
      <c r="A133" s="4">
        <v>1754309912</v>
      </c>
      <c r="B133" s="4">
        <v>132</v>
      </c>
      <c r="C133" s="4" t="s">
        <v>269</v>
      </c>
      <c r="D133" s="4" t="s">
        <v>816</v>
      </c>
      <c r="E133" s="2">
        <v>499</v>
      </c>
      <c r="F133" s="2">
        <v>177</v>
      </c>
      <c r="G133" s="9">
        <v>0.64</v>
      </c>
      <c r="H133" s="4">
        <v>1.8</v>
      </c>
      <c r="I133" s="4" t="s">
        <v>18</v>
      </c>
      <c r="J133" s="4" t="s">
        <v>729</v>
      </c>
      <c r="K133" s="4" t="s">
        <v>732</v>
      </c>
      <c r="L133" s="4" t="s">
        <v>115</v>
      </c>
      <c r="M133" s="11" t="s">
        <v>949</v>
      </c>
      <c r="Q133" s="4" t="s">
        <v>177</v>
      </c>
      <c r="R133" t="str">
        <f t="shared" si="8"/>
        <v>Flower</v>
      </c>
      <c r="U133" t="s">
        <v>742</v>
      </c>
      <c r="V133" s="4">
        <v>132</v>
      </c>
      <c r="W133" s="4" t="s">
        <v>268</v>
      </c>
      <c r="X133" s="4" t="str">
        <f t="shared" si="9"/>
        <v>32</v>
      </c>
      <c r="Y133" s="4" t="str">
        <f t="shared" si="10"/>
        <v>132</v>
      </c>
      <c r="Z133" s="4" t="str">
        <f t="shared" si="11"/>
        <v>1754309912</v>
      </c>
    </row>
    <row r="134" spans="1:26" x14ac:dyDescent="0.3">
      <c r="A134" s="4">
        <v>1754309915</v>
      </c>
      <c r="B134" s="4">
        <v>133</v>
      </c>
      <c r="C134" s="4" t="s">
        <v>40</v>
      </c>
      <c r="D134" s="4" t="s">
        <v>752</v>
      </c>
      <c r="E134" s="2">
        <v>749</v>
      </c>
      <c r="F134" s="2">
        <v>516</v>
      </c>
      <c r="G134" s="9">
        <v>0.31</v>
      </c>
      <c r="H134" s="4">
        <v>3.6</v>
      </c>
      <c r="I134" s="4" t="s">
        <v>18</v>
      </c>
      <c r="J134" s="4" t="s">
        <v>724</v>
      </c>
      <c r="K134" s="4" t="s">
        <v>733</v>
      </c>
      <c r="L134" s="4" t="s">
        <v>23</v>
      </c>
      <c r="M134" s="11" t="s">
        <v>949</v>
      </c>
      <c r="Q134" s="4" t="s">
        <v>41</v>
      </c>
      <c r="R134" t="str">
        <f t="shared" si="8"/>
        <v>Succulent</v>
      </c>
      <c r="U134" t="s">
        <v>742</v>
      </c>
      <c r="V134" s="4">
        <v>133</v>
      </c>
      <c r="W134" s="4" t="s">
        <v>270</v>
      </c>
      <c r="X134" s="4" t="str">
        <f t="shared" si="9"/>
        <v>33</v>
      </c>
      <c r="Y134" s="4" t="str">
        <f t="shared" si="10"/>
        <v>133</v>
      </c>
      <c r="Z134" s="4" t="str">
        <f t="shared" si="11"/>
        <v>1754309915</v>
      </c>
    </row>
    <row r="135" spans="1:26" x14ac:dyDescent="0.3">
      <c r="A135" s="4">
        <v>1754309926</v>
      </c>
      <c r="B135" s="4">
        <v>134</v>
      </c>
      <c r="C135" s="4" t="s">
        <v>50</v>
      </c>
      <c r="D135" s="4" t="s">
        <v>755</v>
      </c>
      <c r="E135" s="2">
        <v>549</v>
      </c>
      <c r="F135" s="2">
        <v>388</v>
      </c>
      <c r="G135" s="9">
        <v>0.28999999999999998</v>
      </c>
      <c r="H135" s="4">
        <v>4.3</v>
      </c>
      <c r="I135" s="4" t="s">
        <v>18</v>
      </c>
      <c r="J135" s="4" t="s">
        <v>726</v>
      </c>
      <c r="K135" s="4" t="s">
        <v>733</v>
      </c>
      <c r="L135" s="4" t="s">
        <v>23</v>
      </c>
      <c r="M135" s="11" t="s">
        <v>949</v>
      </c>
      <c r="Q135" s="4" t="s">
        <v>51</v>
      </c>
      <c r="R135" t="str">
        <f t="shared" si="8"/>
        <v>Foliage</v>
      </c>
      <c r="U135" t="s">
        <v>742</v>
      </c>
      <c r="V135" s="4">
        <v>134</v>
      </c>
      <c r="W135" s="4" t="s">
        <v>271</v>
      </c>
      <c r="X135" s="4" t="str">
        <f t="shared" si="9"/>
        <v>34</v>
      </c>
      <c r="Y135" s="4" t="str">
        <f t="shared" si="10"/>
        <v>134</v>
      </c>
      <c r="Z135" s="4" t="str">
        <f t="shared" si="11"/>
        <v>1754309926</v>
      </c>
    </row>
    <row r="136" spans="1:26" x14ac:dyDescent="0.3">
      <c r="A136" s="4">
        <v>1754309939</v>
      </c>
      <c r="B136" s="4">
        <v>135</v>
      </c>
      <c r="C136" s="4" t="s">
        <v>273</v>
      </c>
      <c r="D136" s="4" t="s">
        <v>817</v>
      </c>
      <c r="E136" s="2">
        <v>299</v>
      </c>
      <c r="F136" s="2">
        <v>145</v>
      </c>
      <c r="G136" s="9">
        <v>0.51</v>
      </c>
      <c r="H136" s="4">
        <v>3.5</v>
      </c>
      <c r="I136" s="4" t="s">
        <v>18</v>
      </c>
      <c r="J136" s="4" t="s">
        <v>722</v>
      </c>
      <c r="K136" s="4" t="s">
        <v>737</v>
      </c>
      <c r="L136" s="4" t="s">
        <v>274</v>
      </c>
      <c r="M136" s="11" t="s">
        <v>949</v>
      </c>
      <c r="Q136" s="4" t="s">
        <v>22</v>
      </c>
      <c r="R136" t="str">
        <f t="shared" si="8"/>
        <v>Shrub</v>
      </c>
      <c r="U136" t="s">
        <v>742</v>
      </c>
      <c r="V136" s="4">
        <v>135</v>
      </c>
      <c r="W136" s="4" t="s">
        <v>272</v>
      </c>
      <c r="X136" s="4" t="str">
        <f t="shared" si="9"/>
        <v>35</v>
      </c>
      <c r="Y136" s="4" t="str">
        <f t="shared" si="10"/>
        <v>135</v>
      </c>
      <c r="Z136" s="4" t="str">
        <f t="shared" si="11"/>
        <v>1754309939</v>
      </c>
    </row>
    <row r="137" spans="1:26" x14ac:dyDescent="0.3">
      <c r="A137" s="4">
        <v>1754309942</v>
      </c>
      <c r="B137" s="4">
        <v>136</v>
      </c>
      <c r="C137" s="4" t="s">
        <v>276</v>
      </c>
      <c r="D137" s="4" t="s">
        <v>818</v>
      </c>
      <c r="E137" s="2">
        <v>499</v>
      </c>
      <c r="F137" s="2">
        <v>140</v>
      </c>
      <c r="G137" s="9">
        <v>0.71</v>
      </c>
      <c r="H137" s="4">
        <v>3.2</v>
      </c>
      <c r="I137" s="4" t="s">
        <v>18</v>
      </c>
      <c r="J137" s="4" t="s">
        <v>729</v>
      </c>
      <c r="K137" s="4" t="s">
        <v>737</v>
      </c>
      <c r="L137" s="4" t="s">
        <v>44</v>
      </c>
      <c r="M137" s="11" t="s">
        <v>949</v>
      </c>
      <c r="Q137" s="4" t="s">
        <v>177</v>
      </c>
      <c r="R137" t="str">
        <f t="shared" si="8"/>
        <v>Flower</v>
      </c>
      <c r="U137" t="s">
        <v>742</v>
      </c>
      <c r="V137" s="4">
        <v>136</v>
      </c>
      <c r="W137" s="4" t="s">
        <v>275</v>
      </c>
      <c r="X137" s="4" t="str">
        <f t="shared" si="9"/>
        <v>36</v>
      </c>
      <c r="Y137" s="4" t="str">
        <f t="shared" si="10"/>
        <v>136</v>
      </c>
      <c r="Z137" s="4" t="str">
        <f t="shared" si="11"/>
        <v>1754309942</v>
      </c>
    </row>
    <row r="138" spans="1:26" x14ac:dyDescent="0.3">
      <c r="A138" s="4">
        <v>1754309944</v>
      </c>
      <c r="B138" s="4">
        <v>137</v>
      </c>
      <c r="C138" s="4" t="s">
        <v>278</v>
      </c>
      <c r="D138" s="4" t="s">
        <v>819</v>
      </c>
      <c r="E138" s="2">
        <v>385</v>
      </c>
      <c r="F138" s="2">
        <v>140</v>
      </c>
      <c r="G138" s="9">
        <v>0.63</v>
      </c>
      <c r="H138" s="4">
        <v>4</v>
      </c>
      <c r="I138" s="4" t="s">
        <v>18</v>
      </c>
      <c r="J138" s="4" t="s">
        <v>728</v>
      </c>
      <c r="K138" s="4" t="s">
        <v>737</v>
      </c>
      <c r="L138" s="4" t="s">
        <v>32</v>
      </c>
      <c r="M138" s="11" t="s">
        <v>949</v>
      </c>
      <c r="Q138" s="4" t="s">
        <v>68</v>
      </c>
      <c r="R138" t="str">
        <f t="shared" si="8"/>
        <v>Fruit</v>
      </c>
      <c r="U138" t="s">
        <v>742</v>
      </c>
      <c r="V138" s="4">
        <v>137</v>
      </c>
      <c r="W138" s="4" t="s">
        <v>277</v>
      </c>
      <c r="X138" s="4" t="str">
        <f t="shared" si="9"/>
        <v>37</v>
      </c>
      <c r="Y138" s="4" t="str">
        <f t="shared" si="10"/>
        <v>137</v>
      </c>
      <c r="Z138" s="4" t="str">
        <f t="shared" si="11"/>
        <v>1754309944</v>
      </c>
    </row>
    <row r="139" spans="1:26" x14ac:dyDescent="0.3">
      <c r="A139" s="4">
        <v>1754309947</v>
      </c>
      <c r="B139" s="4">
        <v>138</v>
      </c>
      <c r="C139" s="4" t="s">
        <v>280</v>
      </c>
      <c r="D139" s="4" t="s">
        <v>820</v>
      </c>
      <c r="E139" s="2">
        <v>599</v>
      </c>
      <c r="F139" s="2">
        <v>137</v>
      </c>
      <c r="G139" s="9">
        <v>0.77</v>
      </c>
      <c r="H139" s="4">
        <v>4</v>
      </c>
      <c r="I139" s="4" t="s">
        <v>18</v>
      </c>
      <c r="J139" s="4" t="s">
        <v>728</v>
      </c>
      <c r="K139" s="4" t="s">
        <v>737</v>
      </c>
      <c r="L139" s="4" t="s">
        <v>29</v>
      </c>
      <c r="M139" s="11" t="s">
        <v>949</v>
      </c>
      <c r="Q139" s="4" t="s">
        <v>68</v>
      </c>
      <c r="R139" t="str">
        <f t="shared" si="8"/>
        <v>Fruit</v>
      </c>
      <c r="U139" t="s">
        <v>742</v>
      </c>
      <c r="V139" s="4">
        <v>138</v>
      </c>
      <c r="W139" s="4" t="s">
        <v>279</v>
      </c>
      <c r="X139" s="4" t="str">
        <f t="shared" si="9"/>
        <v>38</v>
      </c>
      <c r="Y139" s="4" t="str">
        <f t="shared" si="10"/>
        <v>138</v>
      </c>
      <c r="Z139" s="4" t="str">
        <f t="shared" si="11"/>
        <v>1754309947</v>
      </c>
    </row>
    <row r="140" spans="1:26" x14ac:dyDescent="0.3">
      <c r="A140" s="4">
        <v>1754309949</v>
      </c>
      <c r="B140" s="4">
        <v>139</v>
      </c>
      <c r="C140" s="4" t="s">
        <v>25</v>
      </c>
      <c r="D140" s="4" t="s">
        <v>747</v>
      </c>
      <c r="E140" s="2">
        <v>449</v>
      </c>
      <c r="F140" s="2">
        <v>349</v>
      </c>
      <c r="G140" s="9">
        <v>0.22</v>
      </c>
      <c r="H140" s="4">
        <v>4.3</v>
      </c>
      <c r="I140" s="4" t="s">
        <v>18</v>
      </c>
      <c r="J140" s="4" t="s">
        <v>722</v>
      </c>
      <c r="K140" s="4" t="s">
        <v>733</v>
      </c>
      <c r="L140" s="4" t="s">
        <v>23</v>
      </c>
      <c r="M140" s="11" t="s">
        <v>949</v>
      </c>
      <c r="Q140" s="4" t="s">
        <v>22</v>
      </c>
      <c r="R140" t="str">
        <f t="shared" si="8"/>
        <v>Shrub</v>
      </c>
      <c r="U140" t="s">
        <v>746</v>
      </c>
      <c r="V140" s="4">
        <v>139</v>
      </c>
      <c r="W140" s="4" t="s">
        <v>281</v>
      </c>
      <c r="X140" s="4" t="str">
        <f t="shared" si="9"/>
        <v>39</v>
      </c>
      <c r="Y140" s="4" t="str">
        <f t="shared" si="10"/>
        <v>139</v>
      </c>
      <c r="Z140" s="4" t="str">
        <f t="shared" si="11"/>
        <v>1754309949</v>
      </c>
    </row>
    <row r="141" spans="1:26" x14ac:dyDescent="0.3">
      <c r="A141" s="4">
        <v>1754309952</v>
      </c>
      <c r="B141" s="4">
        <v>140</v>
      </c>
      <c r="C141" s="4" t="s">
        <v>25</v>
      </c>
      <c r="D141" s="4" t="s">
        <v>747</v>
      </c>
      <c r="E141" s="2">
        <v>449</v>
      </c>
      <c r="F141" s="2">
        <v>349</v>
      </c>
      <c r="G141" s="9">
        <v>0.22</v>
      </c>
      <c r="H141" s="4">
        <v>4.3</v>
      </c>
      <c r="I141" s="4" t="s">
        <v>18</v>
      </c>
      <c r="J141" s="4" t="s">
        <v>722</v>
      </c>
      <c r="K141" s="4" t="s">
        <v>733</v>
      </c>
      <c r="L141" s="4" t="s">
        <v>23</v>
      </c>
      <c r="M141" s="11" t="s">
        <v>949</v>
      </c>
      <c r="Q141" s="4" t="s">
        <v>22</v>
      </c>
      <c r="R141" t="str">
        <f t="shared" si="8"/>
        <v>Shrub</v>
      </c>
      <c r="U141" t="s">
        <v>746</v>
      </c>
      <c r="V141" s="4">
        <v>140</v>
      </c>
      <c r="W141" s="4" t="s">
        <v>282</v>
      </c>
      <c r="X141" s="4" t="str">
        <f t="shared" si="9"/>
        <v>40</v>
      </c>
      <c r="Y141" s="4" t="str">
        <f t="shared" si="10"/>
        <v>140</v>
      </c>
      <c r="Z141" s="4" t="str">
        <f t="shared" si="11"/>
        <v>1754309952</v>
      </c>
    </row>
    <row r="142" spans="1:26" x14ac:dyDescent="0.3">
      <c r="A142" s="4">
        <v>1754309954</v>
      </c>
      <c r="B142" s="4">
        <v>141</v>
      </c>
      <c r="C142" s="4" t="s">
        <v>284</v>
      </c>
      <c r="D142" s="4" t="s">
        <v>821</v>
      </c>
      <c r="E142" s="2">
        <v>499</v>
      </c>
      <c r="F142" s="2">
        <v>142</v>
      </c>
      <c r="G142" s="9">
        <v>0.71</v>
      </c>
      <c r="H142" s="4">
        <v>3.3</v>
      </c>
      <c r="I142" s="4" t="s">
        <v>13</v>
      </c>
      <c r="J142" s="4" t="s">
        <v>728</v>
      </c>
      <c r="K142" s="4" t="s">
        <v>732</v>
      </c>
      <c r="L142" s="4" t="s">
        <v>121</v>
      </c>
      <c r="M142" s="11" t="s">
        <v>949</v>
      </c>
      <c r="Q142" s="4" t="s">
        <v>68</v>
      </c>
      <c r="R142" t="str">
        <f t="shared" si="8"/>
        <v>Fruit</v>
      </c>
      <c r="U142" t="s">
        <v>742</v>
      </c>
      <c r="V142" s="4">
        <v>141</v>
      </c>
      <c r="W142" s="4" t="s">
        <v>283</v>
      </c>
      <c r="X142" s="4" t="str">
        <f t="shared" si="9"/>
        <v>41</v>
      </c>
      <c r="Y142" s="4" t="str">
        <f t="shared" si="10"/>
        <v>141</v>
      </c>
      <c r="Z142" s="4" t="str">
        <f t="shared" si="11"/>
        <v>1754309954</v>
      </c>
    </row>
    <row r="143" spans="1:26" x14ac:dyDescent="0.3">
      <c r="A143" s="4">
        <v>1754309957</v>
      </c>
      <c r="B143" s="4">
        <v>142</v>
      </c>
      <c r="C143" s="4" t="s">
        <v>286</v>
      </c>
      <c r="D143" s="4" t="s">
        <v>822</v>
      </c>
      <c r="E143" s="2">
        <v>499</v>
      </c>
      <c r="F143" s="2">
        <v>150</v>
      </c>
      <c r="G143" s="9">
        <v>0.69</v>
      </c>
      <c r="H143" s="4">
        <v>3.5</v>
      </c>
      <c r="I143" s="4" t="s">
        <v>13</v>
      </c>
      <c r="J143" s="4" t="s">
        <v>728</v>
      </c>
      <c r="K143" s="4" t="s">
        <v>732</v>
      </c>
      <c r="L143" s="4" t="s">
        <v>29</v>
      </c>
      <c r="M143" s="11" t="s">
        <v>949</v>
      </c>
      <c r="Q143" s="4" t="s">
        <v>68</v>
      </c>
      <c r="R143" t="str">
        <f t="shared" si="8"/>
        <v>Fruit</v>
      </c>
      <c r="U143" t="s">
        <v>742</v>
      </c>
      <c r="V143" s="4">
        <v>142</v>
      </c>
      <c r="W143" s="4" t="s">
        <v>285</v>
      </c>
      <c r="X143" s="4" t="str">
        <f t="shared" si="9"/>
        <v>42</v>
      </c>
      <c r="Y143" s="4" t="str">
        <f t="shared" si="10"/>
        <v>142</v>
      </c>
      <c r="Z143" s="4" t="str">
        <f t="shared" si="11"/>
        <v>1754309957</v>
      </c>
    </row>
    <row r="144" spans="1:26" x14ac:dyDescent="0.3">
      <c r="A144" s="4">
        <v>1754309960</v>
      </c>
      <c r="B144" s="4">
        <v>143</v>
      </c>
      <c r="C144" s="4" t="s">
        <v>40</v>
      </c>
      <c r="D144" s="4" t="s">
        <v>752</v>
      </c>
      <c r="E144" s="2">
        <v>499</v>
      </c>
      <c r="F144" s="2">
        <v>424</v>
      </c>
      <c r="G144" s="9">
        <v>0.15</v>
      </c>
      <c r="H144" s="4">
        <v>4.3</v>
      </c>
      <c r="I144" s="4" t="s">
        <v>18</v>
      </c>
      <c r="J144" s="4" t="s">
        <v>724</v>
      </c>
      <c r="K144" s="4" t="s">
        <v>733</v>
      </c>
      <c r="L144" s="4" t="s">
        <v>23</v>
      </c>
      <c r="M144" s="11" t="s">
        <v>949</v>
      </c>
      <c r="Q144" s="4" t="s">
        <v>41</v>
      </c>
      <c r="R144" t="str">
        <f t="shared" si="8"/>
        <v>Succulent</v>
      </c>
      <c r="U144" t="s">
        <v>742</v>
      </c>
      <c r="V144" s="4">
        <v>143</v>
      </c>
      <c r="W144" s="4" t="s">
        <v>287</v>
      </c>
      <c r="X144" s="4" t="str">
        <f t="shared" si="9"/>
        <v>43</v>
      </c>
      <c r="Y144" s="4" t="str">
        <f t="shared" si="10"/>
        <v>143</v>
      </c>
      <c r="Z144" s="4" t="str">
        <f t="shared" si="11"/>
        <v>1754309960</v>
      </c>
    </row>
    <row r="145" spans="1:26" x14ac:dyDescent="0.3">
      <c r="A145" s="4">
        <v>1754309962</v>
      </c>
      <c r="B145" s="4">
        <v>144</v>
      </c>
      <c r="C145" s="4" t="s">
        <v>21</v>
      </c>
      <c r="D145" s="4" t="s">
        <v>745</v>
      </c>
      <c r="E145" s="2">
        <v>449</v>
      </c>
      <c r="F145" s="2">
        <v>359</v>
      </c>
      <c r="G145" s="9">
        <v>0.2</v>
      </c>
      <c r="H145" s="4">
        <v>4.4000000000000004</v>
      </c>
      <c r="I145" s="4" t="s">
        <v>18</v>
      </c>
      <c r="J145" s="4" t="s">
        <v>722</v>
      </c>
      <c r="K145" s="4" t="s">
        <v>733</v>
      </c>
      <c r="L145" s="4" t="s">
        <v>23</v>
      </c>
      <c r="M145" s="11" t="s">
        <v>949</v>
      </c>
      <c r="Q145" s="4" t="s">
        <v>22</v>
      </c>
      <c r="R145" t="str">
        <f t="shared" si="8"/>
        <v>Shrub</v>
      </c>
      <c r="U145" t="s">
        <v>746</v>
      </c>
      <c r="V145" s="4">
        <v>144</v>
      </c>
      <c r="W145" s="4" t="s">
        <v>288</v>
      </c>
      <c r="X145" s="4" t="str">
        <f t="shared" si="9"/>
        <v>44</v>
      </c>
      <c r="Y145" s="4" t="str">
        <f t="shared" si="10"/>
        <v>144</v>
      </c>
      <c r="Z145" s="4" t="str">
        <f t="shared" si="11"/>
        <v>1754309962</v>
      </c>
    </row>
    <row r="146" spans="1:26" x14ac:dyDescent="0.3">
      <c r="A146" s="4">
        <v>1754309964</v>
      </c>
      <c r="B146" s="4">
        <v>145</v>
      </c>
      <c r="C146" s="4" t="s">
        <v>290</v>
      </c>
      <c r="D146" s="4" t="s">
        <v>823</v>
      </c>
      <c r="E146" s="2">
        <v>419</v>
      </c>
      <c r="F146" s="2">
        <v>231</v>
      </c>
      <c r="G146" s="9">
        <v>0.44</v>
      </c>
      <c r="H146" s="4">
        <v>3.9</v>
      </c>
      <c r="I146" s="4" t="s">
        <v>18</v>
      </c>
      <c r="J146" s="4" t="s">
        <v>723</v>
      </c>
      <c r="K146" s="4" t="s">
        <v>732</v>
      </c>
      <c r="L146" s="4" t="s">
        <v>291</v>
      </c>
      <c r="M146" s="11" t="s">
        <v>949</v>
      </c>
      <c r="Q146" s="4" t="s">
        <v>28</v>
      </c>
      <c r="R146" t="str">
        <f t="shared" si="8"/>
        <v>Herb</v>
      </c>
      <c r="U146" t="s">
        <v>742</v>
      </c>
      <c r="V146" s="4">
        <v>145</v>
      </c>
      <c r="W146" s="4" t="s">
        <v>289</v>
      </c>
      <c r="X146" s="4" t="str">
        <f t="shared" si="9"/>
        <v>45</v>
      </c>
      <c r="Y146" s="4" t="str">
        <f t="shared" si="10"/>
        <v>145</v>
      </c>
      <c r="Z146" s="4" t="str">
        <f t="shared" si="11"/>
        <v>1754309964</v>
      </c>
    </row>
    <row r="147" spans="1:26" x14ac:dyDescent="0.3">
      <c r="A147" s="4">
        <v>1754309967</v>
      </c>
      <c r="B147" s="4">
        <v>146</v>
      </c>
      <c r="C147" s="4" t="s">
        <v>293</v>
      </c>
      <c r="D147" s="4" t="s">
        <v>824</v>
      </c>
      <c r="E147" s="2">
        <v>999</v>
      </c>
      <c r="F147" s="2">
        <v>128</v>
      </c>
      <c r="G147" s="9">
        <v>0.87</v>
      </c>
      <c r="H147" s="4">
        <v>3.2</v>
      </c>
      <c r="I147" s="4" t="s">
        <v>18</v>
      </c>
      <c r="J147" s="4" t="s">
        <v>728</v>
      </c>
      <c r="K147" s="4" t="s">
        <v>737</v>
      </c>
      <c r="L147" s="4" t="s">
        <v>72</v>
      </c>
      <c r="M147" s="11" t="s">
        <v>949</v>
      </c>
      <c r="Q147" s="4" t="s">
        <v>68</v>
      </c>
      <c r="R147" t="str">
        <f t="shared" si="8"/>
        <v>Fruit</v>
      </c>
      <c r="U147" t="s">
        <v>742</v>
      </c>
      <c r="V147" s="4">
        <v>146</v>
      </c>
      <c r="W147" s="4" t="s">
        <v>292</v>
      </c>
      <c r="X147" s="4" t="str">
        <f t="shared" si="9"/>
        <v>46</v>
      </c>
      <c r="Y147" s="4" t="str">
        <f t="shared" si="10"/>
        <v>146</v>
      </c>
      <c r="Z147" s="4" t="str">
        <f t="shared" si="11"/>
        <v>1754309967</v>
      </c>
    </row>
    <row r="148" spans="1:26" x14ac:dyDescent="0.3">
      <c r="A148" s="4">
        <v>1754309969</v>
      </c>
      <c r="B148" s="4">
        <v>147</v>
      </c>
      <c r="C148" s="4" t="s">
        <v>295</v>
      </c>
      <c r="D148" s="4" t="s">
        <v>825</v>
      </c>
      <c r="E148" s="2">
        <v>500</v>
      </c>
      <c r="F148" s="2">
        <v>123</v>
      </c>
      <c r="G148" s="9">
        <v>0.75</v>
      </c>
      <c r="H148" s="4">
        <v>3.6</v>
      </c>
      <c r="I148" s="4" t="s">
        <v>13</v>
      </c>
      <c r="J148" s="4" t="s">
        <v>728</v>
      </c>
      <c r="K148" s="4" t="s">
        <v>732</v>
      </c>
      <c r="L148" s="4" t="s">
        <v>72</v>
      </c>
      <c r="M148" s="11" t="s">
        <v>949</v>
      </c>
      <c r="Q148" s="4" t="s">
        <v>68</v>
      </c>
      <c r="R148" t="str">
        <f t="shared" si="8"/>
        <v>Fruit</v>
      </c>
      <c r="U148" t="s">
        <v>742</v>
      </c>
      <c r="V148" s="4">
        <v>147</v>
      </c>
      <c r="W148" s="4" t="s">
        <v>294</v>
      </c>
      <c r="X148" s="4" t="str">
        <f t="shared" si="9"/>
        <v>47</v>
      </c>
      <c r="Y148" s="4" t="str">
        <f t="shared" si="10"/>
        <v>147</v>
      </c>
      <c r="Z148" s="4" t="str">
        <f t="shared" si="11"/>
        <v>1754309969</v>
      </c>
    </row>
    <row r="149" spans="1:26" x14ac:dyDescent="0.3">
      <c r="A149" s="4">
        <v>1754309972</v>
      </c>
      <c r="B149" s="4">
        <v>148</v>
      </c>
      <c r="C149" s="4" t="s">
        <v>297</v>
      </c>
      <c r="D149" s="4" t="s">
        <v>826</v>
      </c>
      <c r="E149" s="2">
        <v>859</v>
      </c>
      <c r="F149" s="2">
        <v>161</v>
      </c>
      <c r="G149" s="9">
        <v>0.81</v>
      </c>
      <c r="H149" s="4">
        <v>3.2</v>
      </c>
      <c r="I149" s="4" t="s">
        <v>18</v>
      </c>
      <c r="J149" s="4" t="s">
        <v>728</v>
      </c>
      <c r="K149" s="4" t="s">
        <v>737</v>
      </c>
      <c r="L149" s="4" t="s">
        <v>298</v>
      </c>
      <c r="M149" s="11" t="s">
        <v>949</v>
      </c>
      <c r="Q149" s="4" t="s">
        <v>68</v>
      </c>
      <c r="R149" t="str">
        <f t="shared" si="8"/>
        <v>Fruit</v>
      </c>
      <c r="U149" t="s">
        <v>742</v>
      </c>
      <c r="V149" s="4">
        <v>148</v>
      </c>
      <c r="W149" s="4" t="s">
        <v>296</v>
      </c>
      <c r="X149" s="4" t="str">
        <f t="shared" si="9"/>
        <v>48</v>
      </c>
      <c r="Y149" s="4" t="str">
        <f t="shared" si="10"/>
        <v>148</v>
      </c>
      <c r="Z149" s="4" t="str">
        <f t="shared" si="11"/>
        <v>1754309972</v>
      </c>
    </row>
    <row r="150" spans="1:26" x14ac:dyDescent="0.3">
      <c r="A150" s="4">
        <v>1754309975</v>
      </c>
      <c r="B150" s="4">
        <v>149</v>
      </c>
      <c r="C150" s="4" t="s">
        <v>40</v>
      </c>
      <c r="D150" s="4" t="s">
        <v>752</v>
      </c>
      <c r="E150" s="2">
        <v>449</v>
      </c>
      <c r="F150" s="2">
        <v>335</v>
      </c>
      <c r="G150" s="9">
        <v>0.25</v>
      </c>
      <c r="H150" s="4">
        <v>4</v>
      </c>
      <c r="I150" s="4" t="s">
        <v>18</v>
      </c>
      <c r="J150" s="4" t="s">
        <v>724</v>
      </c>
      <c r="K150" s="4" t="s">
        <v>733</v>
      </c>
      <c r="L150" s="4" t="s">
        <v>23</v>
      </c>
      <c r="M150" s="11" t="s">
        <v>949</v>
      </c>
      <c r="Q150" s="4" t="s">
        <v>41</v>
      </c>
      <c r="R150" t="str">
        <f t="shared" si="8"/>
        <v>Succulent</v>
      </c>
      <c r="U150" t="s">
        <v>742</v>
      </c>
      <c r="V150" s="4">
        <v>149</v>
      </c>
      <c r="W150" s="4" t="s">
        <v>299</v>
      </c>
      <c r="X150" s="4" t="str">
        <f t="shared" si="9"/>
        <v>49</v>
      </c>
      <c r="Y150" s="4" t="str">
        <f t="shared" si="10"/>
        <v>149</v>
      </c>
      <c r="Z150" s="4" t="str">
        <f t="shared" si="11"/>
        <v>1754309975</v>
      </c>
    </row>
    <row r="151" spans="1:26" x14ac:dyDescent="0.3">
      <c r="A151" s="4">
        <v>1754309977</v>
      </c>
      <c r="B151" s="4">
        <v>150</v>
      </c>
      <c r="C151" s="4" t="s">
        <v>40</v>
      </c>
      <c r="D151" s="4" t="s">
        <v>752</v>
      </c>
      <c r="E151" s="2">
        <v>499</v>
      </c>
      <c r="F151" s="2">
        <v>426</v>
      </c>
      <c r="G151" s="9">
        <v>0.14000000000000001</v>
      </c>
      <c r="H151" s="4">
        <v>4.2</v>
      </c>
      <c r="I151" s="4" t="s">
        <v>18</v>
      </c>
      <c r="J151" s="4" t="s">
        <v>724</v>
      </c>
      <c r="K151" s="4" t="s">
        <v>733</v>
      </c>
      <c r="L151" s="4" t="s">
        <v>23</v>
      </c>
      <c r="M151" s="11" t="s">
        <v>949</v>
      </c>
      <c r="Q151" s="4" t="s">
        <v>41</v>
      </c>
      <c r="R151" t="str">
        <f t="shared" si="8"/>
        <v>Succulent</v>
      </c>
      <c r="U151" t="s">
        <v>742</v>
      </c>
      <c r="V151" s="4">
        <v>150</v>
      </c>
      <c r="W151" s="4" t="s">
        <v>300</v>
      </c>
      <c r="X151" s="4" t="str">
        <f t="shared" si="9"/>
        <v>50</v>
      </c>
      <c r="Y151" s="4" t="str">
        <f t="shared" si="10"/>
        <v>150</v>
      </c>
      <c r="Z151" s="4" t="str">
        <f t="shared" si="11"/>
        <v>1754309977</v>
      </c>
    </row>
    <row r="152" spans="1:26" x14ac:dyDescent="0.3">
      <c r="A152" s="4">
        <v>1754309980</v>
      </c>
      <c r="B152" s="4">
        <v>151</v>
      </c>
      <c r="C152" s="4" t="s">
        <v>302</v>
      </c>
      <c r="D152" s="4" t="s">
        <v>827</v>
      </c>
      <c r="E152" s="2">
        <v>1420</v>
      </c>
      <c r="F152" s="2">
        <v>142</v>
      </c>
      <c r="G152" s="9">
        <v>0.9</v>
      </c>
      <c r="H152" s="4">
        <v>4</v>
      </c>
      <c r="I152" s="4" t="s">
        <v>18</v>
      </c>
      <c r="J152" s="4" t="s">
        <v>729</v>
      </c>
      <c r="K152" s="4" t="s">
        <v>737</v>
      </c>
      <c r="L152" s="4" t="s">
        <v>303</v>
      </c>
      <c r="M152" s="11" t="s">
        <v>949</v>
      </c>
      <c r="Q152" s="4" t="s">
        <v>177</v>
      </c>
      <c r="R152" t="str">
        <f t="shared" si="8"/>
        <v>Flower</v>
      </c>
      <c r="U152" t="s">
        <v>742</v>
      </c>
      <c r="V152" s="4">
        <v>151</v>
      </c>
      <c r="W152" s="4" t="s">
        <v>301</v>
      </c>
      <c r="X152" s="4" t="str">
        <f t="shared" si="9"/>
        <v>51</v>
      </c>
      <c r="Y152" s="4" t="str">
        <f t="shared" si="10"/>
        <v>151</v>
      </c>
      <c r="Z152" s="4" t="str">
        <f t="shared" si="11"/>
        <v>1754309980</v>
      </c>
    </row>
    <row r="153" spans="1:26" x14ac:dyDescent="0.3">
      <c r="A153" s="4">
        <v>1754309982</v>
      </c>
      <c r="B153" s="4">
        <v>152</v>
      </c>
      <c r="C153" s="4" t="s">
        <v>305</v>
      </c>
      <c r="D153" s="4" t="s">
        <v>828</v>
      </c>
      <c r="E153" s="2">
        <v>699</v>
      </c>
      <c r="F153" s="2">
        <v>121</v>
      </c>
      <c r="G153" s="9">
        <v>0.82</v>
      </c>
      <c r="H153" s="4">
        <v>3.9</v>
      </c>
      <c r="I153" s="4" t="s">
        <v>18</v>
      </c>
      <c r="J153" s="4" t="s">
        <v>728</v>
      </c>
      <c r="K153" s="4" t="s">
        <v>732</v>
      </c>
      <c r="L153" s="4" t="s">
        <v>72</v>
      </c>
      <c r="M153" s="11" t="s">
        <v>949</v>
      </c>
      <c r="Q153" s="4" t="s">
        <v>68</v>
      </c>
      <c r="R153" t="str">
        <f t="shared" si="8"/>
        <v>Fruit</v>
      </c>
      <c r="U153" t="s">
        <v>742</v>
      </c>
      <c r="V153" s="4">
        <v>152</v>
      </c>
      <c r="W153" s="4" t="s">
        <v>304</v>
      </c>
      <c r="X153" s="4" t="str">
        <f t="shared" si="9"/>
        <v>52</v>
      </c>
      <c r="Y153" s="4" t="str">
        <f t="shared" si="10"/>
        <v>152</v>
      </c>
      <c r="Z153" s="4" t="str">
        <f t="shared" si="11"/>
        <v>1754309982</v>
      </c>
    </row>
    <row r="154" spans="1:26" x14ac:dyDescent="0.3">
      <c r="A154" s="4">
        <v>1754309985</v>
      </c>
      <c r="B154" s="4">
        <v>153</v>
      </c>
      <c r="C154" s="4" t="s">
        <v>40</v>
      </c>
      <c r="D154" s="4" t="s">
        <v>752</v>
      </c>
      <c r="E154" s="2">
        <v>499</v>
      </c>
      <c r="F154" s="2">
        <v>335</v>
      </c>
      <c r="G154" s="9">
        <v>0.32</v>
      </c>
      <c r="H154" s="4">
        <v>4</v>
      </c>
      <c r="I154" s="4" t="s">
        <v>18</v>
      </c>
      <c r="J154" s="4" t="s">
        <v>724</v>
      </c>
      <c r="K154" s="4" t="s">
        <v>733</v>
      </c>
      <c r="L154" s="4" t="s">
        <v>23</v>
      </c>
      <c r="M154" s="11" t="s">
        <v>949</v>
      </c>
      <c r="Q154" s="4" t="s">
        <v>41</v>
      </c>
      <c r="R154" t="str">
        <f t="shared" si="8"/>
        <v>Succulent</v>
      </c>
      <c r="U154" t="s">
        <v>742</v>
      </c>
      <c r="V154" s="4">
        <v>153</v>
      </c>
      <c r="W154" s="4" t="s">
        <v>306</v>
      </c>
      <c r="X154" s="4" t="str">
        <f t="shared" si="9"/>
        <v>53</v>
      </c>
      <c r="Y154" s="4" t="str">
        <f t="shared" si="10"/>
        <v>153</v>
      </c>
      <c r="Z154" s="4" t="str">
        <f t="shared" si="11"/>
        <v>1754309985</v>
      </c>
    </row>
    <row r="155" spans="1:26" x14ac:dyDescent="0.3">
      <c r="A155" s="4">
        <v>1754309987</v>
      </c>
      <c r="B155" s="4">
        <v>154</v>
      </c>
      <c r="C155" s="4" t="s">
        <v>21</v>
      </c>
      <c r="D155" s="4" t="s">
        <v>745</v>
      </c>
      <c r="E155" s="2">
        <v>445</v>
      </c>
      <c r="F155" s="2">
        <v>335</v>
      </c>
      <c r="G155" s="9">
        <v>0.24</v>
      </c>
      <c r="H155" s="4">
        <v>4.4000000000000004</v>
      </c>
      <c r="I155" s="4" t="s">
        <v>18</v>
      </c>
      <c r="J155" s="4" t="s">
        <v>722</v>
      </c>
      <c r="K155" s="4" t="s">
        <v>733</v>
      </c>
      <c r="L155" s="4" t="s">
        <v>23</v>
      </c>
      <c r="M155" s="11" t="s">
        <v>949</v>
      </c>
      <c r="Q155" s="4" t="s">
        <v>22</v>
      </c>
      <c r="R155" t="str">
        <f t="shared" si="8"/>
        <v>Shrub</v>
      </c>
      <c r="U155" t="s">
        <v>746</v>
      </c>
      <c r="V155" s="4">
        <v>154</v>
      </c>
      <c r="W155" s="4" t="s">
        <v>307</v>
      </c>
      <c r="X155" s="4" t="str">
        <f t="shared" si="9"/>
        <v>54</v>
      </c>
      <c r="Y155" s="4" t="str">
        <f t="shared" si="10"/>
        <v>154</v>
      </c>
      <c r="Z155" s="4" t="str">
        <f t="shared" si="11"/>
        <v>1754309987</v>
      </c>
    </row>
    <row r="156" spans="1:26" x14ac:dyDescent="0.3">
      <c r="A156" s="4">
        <v>1754309990</v>
      </c>
      <c r="B156" s="4">
        <v>155</v>
      </c>
      <c r="C156" s="4" t="s">
        <v>309</v>
      </c>
      <c r="D156" s="4" t="s">
        <v>829</v>
      </c>
      <c r="E156" s="2">
        <v>299</v>
      </c>
      <c r="F156" s="2">
        <v>134</v>
      </c>
      <c r="G156" s="9">
        <v>0.55000000000000004</v>
      </c>
      <c r="H156" s="4">
        <v>3</v>
      </c>
      <c r="I156" s="4" t="s">
        <v>18</v>
      </c>
      <c r="J156" s="4" t="s">
        <v>723</v>
      </c>
      <c r="K156" s="4" t="s">
        <v>737</v>
      </c>
      <c r="L156" s="4" t="s">
        <v>53</v>
      </c>
      <c r="M156" s="11" t="s">
        <v>949</v>
      </c>
      <c r="Q156" s="4" t="s">
        <v>28</v>
      </c>
      <c r="R156" t="str">
        <f t="shared" si="8"/>
        <v>Herb</v>
      </c>
      <c r="U156" t="s">
        <v>742</v>
      </c>
      <c r="V156" s="4">
        <v>155</v>
      </c>
      <c r="W156" s="4" t="s">
        <v>308</v>
      </c>
      <c r="X156" s="4" t="str">
        <f t="shared" si="9"/>
        <v>55</v>
      </c>
      <c r="Y156" s="4" t="str">
        <f t="shared" si="10"/>
        <v>155</v>
      </c>
      <c r="Z156" s="4" t="str">
        <f t="shared" si="11"/>
        <v>1754309990</v>
      </c>
    </row>
    <row r="157" spans="1:26" x14ac:dyDescent="0.3">
      <c r="A157" s="4">
        <v>1754309992</v>
      </c>
      <c r="B157" s="4">
        <v>156</v>
      </c>
      <c r="C157" s="4" t="s">
        <v>311</v>
      </c>
      <c r="D157" s="4" t="s">
        <v>830</v>
      </c>
      <c r="E157" s="2">
        <v>489</v>
      </c>
      <c r="F157" s="2">
        <v>188</v>
      </c>
      <c r="G157" s="9">
        <v>0.61</v>
      </c>
      <c r="H157" s="4">
        <v>3.8</v>
      </c>
      <c r="I157" s="4" t="s">
        <v>18</v>
      </c>
      <c r="J157" s="4" t="s">
        <v>726</v>
      </c>
      <c r="K157" s="4" t="s">
        <v>737</v>
      </c>
      <c r="L157" s="4" t="s">
        <v>312</v>
      </c>
      <c r="M157" s="11" t="s">
        <v>949</v>
      </c>
      <c r="Q157" s="4" t="s">
        <v>51</v>
      </c>
      <c r="R157" t="str">
        <f t="shared" si="8"/>
        <v>Foliage</v>
      </c>
      <c r="U157" t="s">
        <v>742</v>
      </c>
      <c r="V157" s="4">
        <v>156</v>
      </c>
      <c r="W157" s="4" t="s">
        <v>310</v>
      </c>
      <c r="X157" s="4" t="str">
        <f t="shared" si="9"/>
        <v>56</v>
      </c>
      <c r="Y157" s="4" t="str">
        <f t="shared" si="10"/>
        <v>156</v>
      </c>
      <c r="Z157" s="4" t="str">
        <f t="shared" si="11"/>
        <v>1754309992</v>
      </c>
    </row>
    <row r="158" spans="1:26" x14ac:dyDescent="0.3">
      <c r="A158" s="4">
        <v>1754309995</v>
      </c>
      <c r="B158" s="4">
        <v>157</v>
      </c>
      <c r="C158" s="4" t="s">
        <v>314</v>
      </c>
      <c r="D158" s="4" t="s">
        <v>831</v>
      </c>
      <c r="E158" s="2">
        <v>399</v>
      </c>
      <c r="F158" s="2">
        <v>150</v>
      </c>
      <c r="G158" s="9">
        <v>0.62</v>
      </c>
      <c r="H158" s="4">
        <v>3.3</v>
      </c>
      <c r="I158" s="4" t="s">
        <v>18</v>
      </c>
      <c r="J158" s="4" t="s">
        <v>724</v>
      </c>
      <c r="K158" s="4" t="s">
        <v>737</v>
      </c>
      <c r="L158" s="4" t="s">
        <v>315</v>
      </c>
      <c r="M158" s="11" t="s">
        <v>949</v>
      </c>
      <c r="Q158" s="4" t="s">
        <v>41</v>
      </c>
      <c r="R158" t="str">
        <f t="shared" si="8"/>
        <v>Succulent</v>
      </c>
      <c r="U158" t="s">
        <v>742</v>
      </c>
      <c r="V158" s="4">
        <v>157</v>
      </c>
      <c r="W158" s="4" t="s">
        <v>313</v>
      </c>
      <c r="X158" s="4" t="str">
        <f t="shared" si="9"/>
        <v>57</v>
      </c>
      <c r="Y158" s="4" t="str">
        <f t="shared" si="10"/>
        <v>157</v>
      </c>
      <c r="Z158" s="4" t="str">
        <f t="shared" si="11"/>
        <v>1754309995</v>
      </c>
    </row>
    <row r="159" spans="1:26" x14ac:dyDescent="0.3">
      <c r="A159" s="4">
        <v>1754309999</v>
      </c>
      <c r="B159" s="4">
        <v>158</v>
      </c>
      <c r="C159" s="4" t="s">
        <v>317</v>
      </c>
      <c r="D159" s="4" t="s">
        <v>832</v>
      </c>
      <c r="E159" s="2">
        <v>599</v>
      </c>
      <c r="F159" s="2">
        <v>134</v>
      </c>
      <c r="G159" s="9">
        <v>0.77</v>
      </c>
      <c r="H159" s="4">
        <v>3.5</v>
      </c>
      <c r="I159" s="4" t="s">
        <v>18</v>
      </c>
      <c r="J159" s="4" t="s">
        <v>728</v>
      </c>
      <c r="K159" s="4" t="s">
        <v>737</v>
      </c>
      <c r="L159" s="4" t="s">
        <v>44</v>
      </c>
      <c r="M159" s="11" t="s">
        <v>949</v>
      </c>
      <c r="Q159" s="4" t="s">
        <v>68</v>
      </c>
      <c r="R159" t="str">
        <f t="shared" si="8"/>
        <v>Fruit</v>
      </c>
      <c r="U159" t="s">
        <v>742</v>
      </c>
      <c r="V159" s="4">
        <v>158</v>
      </c>
      <c r="W159" s="4" t="s">
        <v>316</v>
      </c>
      <c r="X159" s="4" t="str">
        <f t="shared" si="9"/>
        <v>58</v>
      </c>
      <c r="Y159" s="4" t="str">
        <f t="shared" si="10"/>
        <v>158</v>
      </c>
      <c r="Z159" s="4" t="str">
        <f t="shared" si="11"/>
        <v>1754309999</v>
      </c>
    </row>
    <row r="160" spans="1:26" x14ac:dyDescent="0.3">
      <c r="A160" s="4">
        <v>1754310002</v>
      </c>
      <c r="B160" s="4">
        <v>159</v>
      </c>
      <c r="C160" s="4" t="s">
        <v>40</v>
      </c>
      <c r="D160" s="4" t="s">
        <v>752</v>
      </c>
      <c r="E160" s="2">
        <v>495</v>
      </c>
      <c r="F160" s="2">
        <v>331</v>
      </c>
      <c r="G160" s="9">
        <v>0.33</v>
      </c>
      <c r="H160" s="4">
        <v>4.0999999999999996</v>
      </c>
      <c r="I160" s="4" t="s">
        <v>18</v>
      </c>
      <c r="J160" s="4" t="s">
        <v>724</v>
      </c>
      <c r="K160" s="4" t="s">
        <v>733</v>
      </c>
      <c r="L160" s="4" t="s">
        <v>23</v>
      </c>
      <c r="M160" s="11" t="s">
        <v>949</v>
      </c>
      <c r="Q160" s="4" t="s">
        <v>41</v>
      </c>
      <c r="R160" t="str">
        <f t="shared" si="8"/>
        <v>Succulent</v>
      </c>
      <c r="U160" t="s">
        <v>742</v>
      </c>
      <c r="V160" s="4">
        <v>159</v>
      </c>
      <c r="W160" s="4" t="s">
        <v>318</v>
      </c>
      <c r="X160" s="4" t="str">
        <f t="shared" si="9"/>
        <v>59</v>
      </c>
      <c r="Y160" s="4" t="str">
        <f t="shared" si="10"/>
        <v>159</v>
      </c>
      <c r="Z160" s="4" t="str">
        <f t="shared" si="11"/>
        <v>1754310002</v>
      </c>
    </row>
    <row r="161" spans="1:26" x14ac:dyDescent="0.3">
      <c r="A161" s="4">
        <v>1754310004</v>
      </c>
      <c r="B161" s="4">
        <v>160</v>
      </c>
      <c r="C161" s="4" t="s">
        <v>40</v>
      </c>
      <c r="D161" s="4" t="s">
        <v>752</v>
      </c>
      <c r="E161" s="2">
        <v>349</v>
      </c>
      <c r="F161" s="2">
        <v>325</v>
      </c>
      <c r="G161" s="9">
        <v>0.06</v>
      </c>
      <c r="H161" s="4">
        <v>4</v>
      </c>
      <c r="I161" s="4" t="s">
        <v>18</v>
      </c>
      <c r="J161" s="4" t="s">
        <v>724</v>
      </c>
      <c r="K161" s="4" t="s">
        <v>733</v>
      </c>
      <c r="L161" s="4" t="s">
        <v>23</v>
      </c>
      <c r="M161" s="11" t="s">
        <v>949</v>
      </c>
      <c r="Q161" s="4" t="s">
        <v>41</v>
      </c>
      <c r="R161" t="str">
        <f t="shared" si="8"/>
        <v>Succulent</v>
      </c>
      <c r="U161" t="s">
        <v>746</v>
      </c>
      <c r="V161" s="4">
        <v>160</v>
      </c>
      <c r="W161" s="4" t="s">
        <v>319</v>
      </c>
      <c r="X161" s="4" t="str">
        <f t="shared" si="9"/>
        <v>60</v>
      </c>
      <c r="Y161" s="4" t="str">
        <f t="shared" si="10"/>
        <v>160</v>
      </c>
      <c r="Z161" s="4" t="str">
        <f t="shared" si="11"/>
        <v>1754310004</v>
      </c>
    </row>
    <row r="162" spans="1:26" x14ac:dyDescent="0.3">
      <c r="A162" s="4">
        <v>1754310010</v>
      </c>
      <c r="B162" s="4">
        <v>161</v>
      </c>
      <c r="C162" s="4" t="s">
        <v>321</v>
      </c>
      <c r="D162" s="4" t="s">
        <v>833</v>
      </c>
      <c r="E162" s="2">
        <v>389</v>
      </c>
      <c r="F162" s="2">
        <v>149</v>
      </c>
      <c r="G162" s="9">
        <v>0.61</v>
      </c>
      <c r="H162" s="4">
        <v>4</v>
      </c>
      <c r="I162" s="4" t="s">
        <v>18</v>
      </c>
      <c r="J162" s="4" t="s">
        <v>728</v>
      </c>
      <c r="K162" s="4" t="s">
        <v>737</v>
      </c>
      <c r="L162" s="4" t="s">
        <v>244</v>
      </c>
      <c r="M162" s="11" t="s">
        <v>949</v>
      </c>
      <c r="Q162" s="4" t="s">
        <v>68</v>
      </c>
      <c r="R162" t="str">
        <f t="shared" si="8"/>
        <v>Fruit</v>
      </c>
      <c r="U162" t="s">
        <v>742</v>
      </c>
      <c r="V162" s="4">
        <v>161</v>
      </c>
      <c r="W162" s="4" t="s">
        <v>320</v>
      </c>
      <c r="X162" s="4" t="str">
        <f t="shared" si="9"/>
        <v>61</v>
      </c>
      <c r="Y162" s="4" t="str">
        <f t="shared" si="10"/>
        <v>161</v>
      </c>
      <c r="Z162" s="4" t="str">
        <f t="shared" si="11"/>
        <v>1754310010</v>
      </c>
    </row>
    <row r="163" spans="1:26" x14ac:dyDescent="0.3">
      <c r="A163" s="4">
        <v>1754310012</v>
      </c>
      <c r="B163" s="4">
        <v>162</v>
      </c>
      <c r="C163" s="4" t="s">
        <v>323</v>
      </c>
      <c r="D163" s="4" t="s">
        <v>834</v>
      </c>
      <c r="E163" s="2">
        <v>590</v>
      </c>
      <c r="F163" s="2">
        <v>147</v>
      </c>
      <c r="G163" s="9">
        <v>0.75</v>
      </c>
      <c r="H163" s="4">
        <v>3.5</v>
      </c>
      <c r="I163" s="4" t="s">
        <v>18</v>
      </c>
      <c r="J163" s="4" t="s">
        <v>723</v>
      </c>
      <c r="K163" s="4" t="s">
        <v>732</v>
      </c>
      <c r="L163" s="4" t="s">
        <v>29</v>
      </c>
      <c r="M163" s="11" t="s">
        <v>949</v>
      </c>
      <c r="Q163" s="4" t="s">
        <v>28</v>
      </c>
      <c r="R163" t="str">
        <f t="shared" si="8"/>
        <v>Herb</v>
      </c>
      <c r="U163" t="s">
        <v>746</v>
      </c>
      <c r="V163" s="4">
        <v>162</v>
      </c>
      <c r="W163" s="4" t="s">
        <v>322</v>
      </c>
      <c r="X163" s="4" t="str">
        <f t="shared" si="9"/>
        <v>62</v>
      </c>
      <c r="Y163" s="4" t="str">
        <f t="shared" si="10"/>
        <v>162</v>
      </c>
      <c r="Z163" s="4" t="str">
        <f t="shared" si="11"/>
        <v>1754310012</v>
      </c>
    </row>
    <row r="164" spans="1:26" x14ac:dyDescent="0.3">
      <c r="A164" s="4">
        <v>1754310015</v>
      </c>
      <c r="B164" s="4">
        <v>163</v>
      </c>
      <c r="C164" s="4" t="s">
        <v>21</v>
      </c>
      <c r="D164" s="4" t="s">
        <v>745</v>
      </c>
      <c r="E164" s="2">
        <v>449</v>
      </c>
      <c r="F164" s="2">
        <v>384</v>
      </c>
      <c r="G164" s="9">
        <v>0.14000000000000001</v>
      </c>
      <c r="H164" s="4">
        <v>4.4000000000000004</v>
      </c>
      <c r="I164" s="4" t="s">
        <v>18</v>
      </c>
      <c r="J164" s="4" t="s">
        <v>722</v>
      </c>
      <c r="K164" s="4" t="s">
        <v>733</v>
      </c>
      <c r="L164" s="4" t="s">
        <v>23</v>
      </c>
      <c r="M164" s="11" t="s">
        <v>949</v>
      </c>
      <c r="Q164" s="4" t="s">
        <v>22</v>
      </c>
      <c r="R164" t="str">
        <f t="shared" si="8"/>
        <v>Shrub</v>
      </c>
      <c r="U164" t="s">
        <v>746</v>
      </c>
      <c r="V164" s="4">
        <v>163</v>
      </c>
      <c r="W164" s="4" t="s">
        <v>324</v>
      </c>
      <c r="X164" s="4" t="str">
        <f t="shared" si="9"/>
        <v>63</v>
      </c>
      <c r="Y164" s="4" t="str">
        <f t="shared" si="10"/>
        <v>163</v>
      </c>
      <c r="Z164" s="4" t="str">
        <f t="shared" si="11"/>
        <v>1754310015</v>
      </c>
    </row>
    <row r="165" spans="1:26" x14ac:dyDescent="0.3">
      <c r="A165" s="4">
        <v>1754310017</v>
      </c>
      <c r="B165" s="4">
        <v>164</v>
      </c>
      <c r="C165" s="4" t="s">
        <v>25</v>
      </c>
      <c r="D165" s="4" t="s">
        <v>747</v>
      </c>
      <c r="E165" s="2">
        <v>449</v>
      </c>
      <c r="F165" s="2">
        <v>349</v>
      </c>
      <c r="G165" s="9">
        <v>0.22</v>
      </c>
      <c r="H165" s="4">
        <v>4.3</v>
      </c>
      <c r="I165" s="4" t="s">
        <v>18</v>
      </c>
      <c r="J165" s="4" t="s">
        <v>722</v>
      </c>
      <c r="K165" s="4" t="s">
        <v>733</v>
      </c>
      <c r="L165" s="4" t="s">
        <v>23</v>
      </c>
      <c r="M165" s="11" t="s">
        <v>949</v>
      </c>
      <c r="Q165" s="4" t="s">
        <v>22</v>
      </c>
      <c r="R165" t="str">
        <f t="shared" si="8"/>
        <v>Shrub</v>
      </c>
      <c r="U165" t="s">
        <v>746</v>
      </c>
      <c r="V165" s="4">
        <v>164</v>
      </c>
      <c r="W165" s="4" t="s">
        <v>325</v>
      </c>
      <c r="X165" s="4" t="str">
        <f t="shared" si="9"/>
        <v>64</v>
      </c>
      <c r="Y165" s="4" t="str">
        <f t="shared" si="10"/>
        <v>164</v>
      </c>
      <c r="Z165" s="4" t="str">
        <f t="shared" si="11"/>
        <v>1754310017</v>
      </c>
    </row>
    <row r="166" spans="1:26" x14ac:dyDescent="0.3">
      <c r="A166" s="4">
        <v>1754310020</v>
      </c>
      <c r="B166" s="4">
        <v>165</v>
      </c>
      <c r="C166" s="4" t="s">
        <v>327</v>
      </c>
      <c r="D166" s="4" t="s">
        <v>835</v>
      </c>
      <c r="E166" s="2">
        <v>499</v>
      </c>
      <c r="F166" s="2">
        <v>145</v>
      </c>
      <c r="G166" s="9">
        <v>0.7</v>
      </c>
      <c r="H166" s="4">
        <v>3.7</v>
      </c>
      <c r="I166" s="4" t="s">
        <v>18</v>
      </c>
      <c r="J166" s="4" t="s">
        <v>728</v>
      </c>
      <c r="K166" s="4" t="s">
        <v>732</v>
      </c>
      <c r="L166" s="4" t="s">
        <v>29</v>
      </c>
      <c r="M166" s="11" t="s">
        <v>949</v>
      </c>
      <c r="Q166" s="4" t="s">
        <v>68</v>
      </c>
      <c r="R166" t="str">
        <f t="shared" si="8"/>
        <v>Fruit</v>
      </c>
      <c r="U166" t="s">
        <v>742</v>
      </c>
      <c r="V166" s="4">
        <v>165</v>
      </c>
      <c r="W166" s="4" t="s">
        <v>326</v>
      </c>
      <c r="X166" s="4" t="str">
        <f t="shared" si="9"/>
        <v>65</v>
      </c>
      <c r="Y166" s="4" t="str">
        <f t="shared" si="10"/>
        <v>165</v>
      </c>
      <c r="Z166" s="4" t="str">
        <f t="shared" si="11"/>
        <v>1754310020</v>
      </c>
    </row>
    <row r="167" spans="1:26" x14ac:dyDescent="0.3">
      <c r="A167" s="4">
        <v>1754310022</v>
      </c>
      <c r="B167" s="4">
        <v>166</v>
      </c>
      <c r="C167" s="4" t="s">
        <v>329</v>
      </c>
      <c r="D167" s="4" t="s">
        <v>836</v>
      </c>
      <c r="E167" s="2">
        <v>499</v>
      </c>
      <c r="F167" s="2">
        <v>198</v>
      </c>
      <c r="G167" s="9">
        <v>0.6</v>
      </c>
      <c r="H167" s="4">
        <v>3.5</v>
      </c>
      <c r="I167" s="4" t="s">
        <v>18</v>
      </c>
      <c r="J167" s="4" t="s">
        <v>728</v>
      </c>
      <c r="K167" s="4" t="s">
        <v>732</v>
      </c>
      <c r="L167" s="4" t="s">
        <v>330</v>
      </c>
      <c r="M167" s="11" t="s">
        <v>949</v>
      </c>
      <c r="Q167" s="4" t="s">
        <v>68</v>
      </c>
      <c r="R167" t="str">
        <f t="shared" si="8"/>
        <v>Fruit</v>
      </c>
      <c r="U167" t="s">
        <v>746</v>
      </c>
      <c r="V167" s="4">
        <v>166</v>
      </c>
      <c r="W167" s="4" t="s">
        <v>328</v>
      </c>
      <c r="X167" s="4" t="str">
        <f t="shared" si="9"/>
        <v>66</v>
      </c>
      <c r="Y167" s="4" t="str">
        <f t="shared" si="10"/>
        <v>166</v>
      </c>
      <c r="Z167" s="4" t="str">
        <f t="shared" si="11"/>
        <v>1754310022</v>
      </c>
    </row>
    <row r="168" spans="1:26" x14ac:dyDescent="0.3">
      <c r="A168" s="4">
        <v>1754310025</v>
      </c>
      <c r="B168" s="4">
        <v>167</v>
      </c>
      <c r="C168" s="4" t="s">
        <v>332</v>
      </c>
      <c r="D168" s="4" t="s">
        <v>837</v>
      </c>
      <c r="E168" s="2">
        <v>599</v>
      </c>
      <c r="F168" s="2">
        <v>140</v>
      </c>
      <c r="G168" s="9">
        <v>0.76</v>
      </c>
      <c r="H168" s="4">
        <v>3.8</v>
      </c>
      <c r="I168" s="4" t="s">
        <v>18</v>
      </c>
      <c r="J168" s="4" t="s">
        <v>723</v>
      </c>
      <c r="K168" s="4" t="s">
        <v>732</v>
      </c>
      <c r="L168" s="4" t="s">
        <v>44</v>
      </c>
      <c r="M168" s="11" t="s">
        <v>949</v>
      </c>
      <c r="Q168" s="4" t="s">
        <v>28</v>
      </c>
      <c r="R168" t="str">
        <f t="shared" si="8"/>
        <v>Herb</v>
      </c>
      <c r="U168" t="s">
        <v>742</v>
      </c>
      <c r="V168" s="4">
        <v>167</v>
      </c>
      <c r="W168" s="4" t="s">
        <v>331</v>
      </c>
      <c r="X168" s="4" t="str">
        <f t="shared" si="9"/>
        <v>67</v>
      </c>
      <c r="Y168" s="4" t="str">
        <f t="shared" si="10"/>
        <v>167</v>
      </c>
      <c r="Z168" s="4" t="str">
        <f t="shared" si="11"/>
        <v>1754310025</v>
      </c>
    </row>
    <row r="169" spans="1:26" x14ac:dyDescent="0.3">
      <c r="A169" s="4">
        <v>1754310028</v>
      </c>
      <c r="B169" s="4">
        <v>168</v>
      </c>
      <c r="C169" s="4" t="s">
        <v>334</v>
      </c>
      <c r="D169" s="4" t="s">
        <v>838</v>
      </c>
      <c r="E169" s="2">
        <v>489</v>
      </c>
      <c r="F169" s="2">
        <v>165</v>
      </c>
      <c r="G169" s="9">
        <v>0.66</v>
      </c>
      <c r="H169" s="4">
        <v>3.6</v>
      </c>
      <c r="I169" s="4" t="s">
        <v>13</v>
      </c>
      <c r="J169" s="4" t="s">
        <v>728</v>
      </c>
      <c r="K169" s="4" t="s">
        <v>737</v>
      </c>
      <c r="L169" s="4" t="s">
        <v>44</v>
      </c>
      <c r="M169" s="11" t="s">
        <v>949</v>
      </c>
      <c r="Q169" s="4" t="s">
        <v>68</v>
      </c>
      <c r="R169" t="str">
        <f t="shared" si="8"/>
        <v>Fruit</v>
      </c>
      <c r="U169" t="s">
        <v>839</v>
      </c>
      <c r="V169" s="4">
        <v>168</v>
      </c>
      <c r="W169" s="4" t="s">
        <v>333</v>
      </c>
      <c r="X169" s="4" t="str">
        <f t="shared" si="9"/>
        <v>68</v>
      </c>
      <c r="Y169" s="4" t="str">
        <f t="shared" si="10"/>
        <v>168</v>
      </c>
      <c r="Z169" s="4" t="str">
        <f t="shared" si="11"/>
        <v>1754310028</v>
      </c>
    </row>
    <row r="170" spans="1:26" x14ac:dyDescent="0.3">
      <c r="A170" s="4">
        <v>1754310030</v>
      </c>
      <c r="B170" s="4">
        <v>169</v>
      </c>
      <c r="C170" s="4" t="s">
        <v>21</v>
      </c>
      <c r="D170" s="4" t="s">
        <v>745</v>
      </c>
      <c r="E170" s="2">
        <v>449</v>
      </c>
      <c r="F170" s="2">
        <v>384</v>
      </c>
      <c r="G170" s="9">
        <v>0.14000000000000001</v>
      </c>
      <c r="H170" s="4">
        <v>4.4000000000000004</v>
      </c>
      <c r="I170" s="4" t="s">
        <v>18</v>
      </c>
      <c r="J170" s="4" t="s">
        <v>722</v>
      </c>
      <c r="K170" s="4" t="s">
        <v>733</v>
      </c>
      <c r="L170" s="4" t="s">
        <v>23</v>
      </c>
      <c r="M170" s="11" t="s">
        <v>949</v>
      </c>
      <c r="Q170" s="4" t="s">
        <v>22</v>
      </c>
      <c r="R170" t="str">
        <f t="shared" si="8"/>
        <v>Shrub</v>
      </c>
      <c r="U170" t="s">
        <v>746</v>
      </c>
      <c r="V170" s="4">
        <v>169</v>
      </c>
      <c r="W170" s="4" t="s">
        <v>335</v>
      </c>
      <c r="X170" s="4" t="str">
        <f t="shared" si="9"/>
        <v>69</v>
      </c>
      <c r="Y170" s="4" t="str">
        <f t="shared" si="10"/>
        <v>169</v>
      </c>
      <c r="Z170" s="4" t="str">
        <f t="shared" si="11"/>
        <v>1754310030</v>
      </c>
    </row>
    <row r="171" spans="1:26" x14ac:dyDescent="0.3">
      <c r="A171" s="4">
        <v>1754310033</v>
      </c>
      <c r="B171" s="4">
        <v>170</v>
      </c>
      <c r="C171" s="4" t="s">
        <v>40</v>
      </c>
      <c r="D171" s="4" t="s">
        <v>752</v>
      </c>
      <c r="E171" s="2">
        <v>499</v>
      </c>
      <c r="F171" s="2">
        <v>335</v>
      </c>
      <c r="G171" s="9">
        <v>0.32</v>
      </c>
      <c r="H171" s="4">
        <v>4</v>
      </c>
      <c r="I171" s="4" t="s">
        <v>18</v>
      </c>
      <c r="J171" s="4" t="s">
        <v>724</v>
      </c>
      <c r="K171" s="4" t="s">
        <v>733</v>
      </c>
      <c r="L171" s="4" t="s">
        <v>23</v>
      </c>
      <c r="M171" s="11" t="s">
        <v>949</v>
      </c>
      <c r="Q171" s="4" t="s">
        <v>41</v>
      </c>
      <c r="R171" t="str">
        <f t="shared" si="8"/>
        <v>Succulent</v>
      </c>
      <c r="U171" t="s">
        <v>742</v>
      </c>
      <c r="V171" s="4">
        <v>170</v>
      </c>
      <c r="W171" s="4" t="s">
        <v>336</v>
      </c>
      <c r="X171" s="4" t="str">
        <f t="shared" si="9"/>
        <v>70</v>
      </c>
      <c r="Y171" s="4" t="str">
        <f t="shared" si="10"/>
        <v>170</v>
      </c>
      <c r="Z171" s="4" t="str">
        <f t="shared" si="11"/>
        <v>1754310033</v>
      </c>
    </row>
    <row r="172" spans="1:26" x14ac:dyDescent="0.3">
      <c r="A172" s="4">
        <v>1754310036</v>
      </c>
      <c r="B172" s="4">
        <v>171</v>
      </c>
      <c r="C172" s="4" t="s">
        <v>338</v>
      </c>
      <c r="D172" s="4" t="s">
        <v>840</v>
      </c>
      <c r="E172" s="2">
        <v>499</v>
      </c>
      <c r="F172" s="2">
        <v>132</v>
      </c>
      <c r="G172" s="9">
        <v>0.73</v>
      </c>
      <c r="H172" s="4">
        <v>3.5</v>
      </c>
      <c r="I172" s="4" t="s">
        <v>13</v>
      </c>
      <c r="J172" s="4" t="s">
        <v>728</v>
      </c>
      <c r="K172" s="4" t="s">
        <v>737</v>
      </c>
      <c r="L172" s="4" t="s">
        <v>44</v>
      </c>
      <c r="M172" s="11" t="s">
        <v>949</v>
      </c>
      <c r="Q172" s="4" t="s">
        <v>68</v>
      </c>
      <c r="R172" t="str">
        <f t="shared" si="8"/>
        <v>Fruit</v>
      </c>
      <c r="U172" t="s">
        <v>742</v>
      </c>
      <c r="V172" s="4">
        <v>171</v>
      </c>
      <c r="W172" s="4" t="s">
        <v>337</v>
      </c>
      <c r="X172" s="4" t="str">
        <f t="shared" si="9"/>
        <v>71</v>
      </c>
      <c r="Y172" s="4" t="str">
        <f t="shared" si="10"/>
        <v>171</v>
      </c>
      <c r="Z172" s="4" t="str">
        <f t="shared" si="11"/>
        <v>1754310036</v>
      </c>
    </row>
    <row r="173" spans="1:26" x14ac:dyDescent="0.3">
      <c r="A173" s="4">
        <v>1754310047</v>
      </c>
      <c r="B173" s="4">
        <v>172</v>
      </c>
      <c r="C173" s="4" t="s">
        <v>340</v>
      </c>
      <c r="D173" s="4" t="s">
        <v>841</v>
      </c>
      <c r="E173" s="2">
        <v>256</v>
      </c>
      <c r="F173" s="2">
        <v>193</v>
      </c>
      <c r="G173" s="9">
        <v>0.24</v>
      </c>
      <c r="H173" s="4">
        <v>3.6</v>
      </c>
      <c r="I173" s="4" t="s">
        <v>18</v>
      </c>
      <c r="J173" s="4" t="s">
        <v>723</v>
      </c>
      <c r="K173" s="4" t="s">
        <v>732</v>
      </c>
      <c r="L173" s="4" t="s">
        <v>44</v>
      </c>
      <c r="M173" s="11" t="s">
        <v>949</v>
      </c>
      <c r="Q173" s="4" t="s">
        <v>28</v>
      </c>
      <c r="R173" t="str">
        <f t="shared" si="8"/>
        <v>Herb</v>
      </c>
      <c r="U173" t="s">
        <v>842</v>
      </c>
      <c r="V173" s="4">
        <v>172</v>
      </c>
      <c r="W173" s="4" t="s">
        <v>339</v>
      </c>
      <c r="X173" s="4" t="str">
        <f t="shared" si="9"/>
        <v>72</v>
      </c>
      <c r="Y173" s="4" t="str">
        <f t="shared" si="10"/>
        <v>172</v>
      </c>
      <c r="Z173" s="4" t="str">
        <f t="shared" si="11"/>
        <v>1754310047</v>
      </c>
    </row>
    <row r="174" spans="1:26" x14ac:dyDescent="0.3">
      <c r="A174" s="4">
        <v>1754310051</v>
      </c>
      <c r="B174" s="4">
        <v>173</v>
      </c>
      <c r="C174" s="4" t="s">
        <v>40</v>
      </c>
      <c r="D174" s="4" t="s">
        <v>752</v>
      </c>
      <c r="E174" s="2">
        <v>749</v>
      </c>
      <c r="F174" s="2">
        <v>516</v>
      </c>
      <c r="G174" s="9">
        <v>0.31</v>
      </c>
      <c r="H174" s="4">
        <v>3.6</v>
      </c>
      <c r="I174" s="4" t="s">
        <v>18</v>
      </c>
      <c r="J174" s="4" t="s">
        <v>724</v>
      </c>
      <c r="K174" s="4" t="s">
        <v>733</v>
      </c>
      <c r="L174" s="4" t="s">
        <v>23</v>
      </c>
      <c r="M174" s="11" t="s">
        <v>949</v>
      </c>
      <c r="Q174" s="4" t="s">
        <v>41</v>
      </c>
      <c r="R174" t="str">
        <f t="shared" si="8"/>
        <v>Succulent</v>
      </c>
      <c r="U174" t="s">
        <v>742</v>
      </c>
      <c r="V174" s="4">
        <v>173</v>
      </c>
      <c r="W174" s="4" t="s">
        <v>341</v>
      </c>
      <c r="X174" s="4" t="str">
        <f t="shared" si="9"/>
        <v>73</v>
      </c>
      <c r="Y174" s="4" t="str">
        <f t="shared" si="10"/>
        <v>173</v>
      </c>
      <c r="Z174" s="4" t="str">
        <f t="shared" si="11"/>
        <v>1754310051</v>
      </c>
    </row>
    <row r="175" spans="1:26" x14ac:dyDescent="0.3">
      <c r="A175" s="4">
        <v>1754310054</v>
      </c>
      <c r="B175" s="4">
        <v>174</v>
      </c>
      <c r="C175" s="4" t="s">
        <v>50</v>
      </c>
      <c r="D175" s="4" t="s">
        <v>755</v>
      </c>
      <c r="E175" s="2">
        <v>549</v>
      </c>
      <c r="F175" s="2">
        <v>388</v>
      </c>
      <c r="G175" s="9">
        <v>0.28999999999999998</v>
      </c>
      <c r="H175" s="4">
        <v>4.3</v>
      </c>
      <c r="I175" s="4" t="s">
        <v>18</v>
      </c>
      <c r="J175" s="4" t="s">
        <v>726</v>
      </c>
      <c r="K175" s="4" t="s">
        <v>733</v>
      </c>
      <c r="L175" s="4" t="s">
        <v>23</v>
      </c>
      <c r="M175" s="11" t="s">
        <v>949</v>
      </c>
      <c r="Q175" s="4" t="s">
        <v>51</v>
      </c>
      <c r="R175" t="str">
        <f t="shared" si="8"/>
        <v>Foliage</v>
      </c>
      <c r="U175" t="s">
        <v>742</v>
      </c>
      <c r="V175" s="4">
        <v>174</v>
      </c>
      <c r="W175" s="4" t="s">
        <v>342</v>
      </c>
      <c r="X175" s="4" t="str">
        <f t="shared" si="9"/>
        <v>74</v>
      </c>
      <c r="Y175" s="4" t="str">
        <f t="shared" si="10"/>
        <v>174</v>
      </c>
      <c r="Z175" s="4" t="str">
        <f t="shared" si="11"/>
        <v>1754310054</v>
      </c>
    </row>
    <row r="176" spans="1:26" x14ac:dyDescent="0.3">
      <c r="A176" s="4">
        <v>1754310056</v>
      </c>
      <c r="B176" s="4">
        <v>175</v>
      </c>
      <c r="C176" s="4" t="s">
        <v>344</v>
      </c>
      <c r="D176" s="4" t="s">
        <v>843</v>
      </c>
      <c r="E176" s="2">
        <v>600</v>
      </c>
      <c r="F176" s="2">
        <v>150</v>
      </c>
      <c r="G176" s="9">
        <v>0.75</v>
      </c>
      <c r="H176" s="4">
        <v>5</v>
      </c>
      <c r="I176" s="4" t="s">
        <v>13</v>
      </c>
      <c r="J176" s="4" t="s">
        <v>728</v>
      </c>
      <c r="K176" s="4" t="s">
        <v>732</v>
      </c>
      <c r="L176" s="4" t="s">
        <v>29</v>
      </c>
      <c r="M176" s="11" t="s">
        <v>949</v>
      </c>
      <c r="Q176" s="4" t="s">
        <v>68</v>
      </c>
      <c r="R176" t="str">
        <f t="shared" si="8"/>
        <v>Fruit</v>
      </c>
      <c r="U176" t="s">
        <v>742</v>
      </c>
      <c r="V176" s="4">
        <v>175</v>
      </c>
      <c r="W176" s="4" t="s">
        <v>343</v>
      </c>
      <c r="X176" s="4" t="str">
        <f t="shared" si="9"/>
        <v>75</v>
      </c>
      <c r="Y176" s="4" t="str">
        <f t="shared" si="10"/>
        <v>175</v>
      </c>
      <c r="Z176" s="4" t="str">
        <f t="shared" si="11"/>
        <v>1754310056</v>
      </c>
    </row>
    <row r="177" spans="1:26" x14ac:dyDescent="0.3">
      <c r="A177" s="4">
        <v>1754310059</v>
      </c>
      <c r="B177" s="4">
        <v>176</v>
      </c>
      <c r="C177" s="4" t="s">
        <v>346</v>
      </c>
      <c r="D177" s="4" t="s">
        <v>844</v>
      </c>
      <c r="E177" s="2">
        <v>499</v>
      </c>
      <c r="F177" s="2">
        <v>139</v>
      </c>
      <c r="G177" s="9">
        <v>0.72</v>
      </c>
      <c r="H177" s="4">
        <v>1.6</v>
      </c>
      <c r="I177" s="4" t="s">
        <v>13</v>
      </c>
      <c r="J177" s="4" t="s">
        <v>723</v>
      </c>
      <c r="K177" s="4" t="s">
        <v>737</v>
      </c>
      <c r="L177" s="4" t="s">
        <v>169</v>
      </c>
      <c r="M177" s="11" t="s">
        <v>949</v>
      </c>
      <c r="Q177" s="4" t="s">
        <v>28</v>
      </c>
      <c r="R177" t="str">
        <f t="shared" si="8"/>
        <v>Herb</v>
      </c>
      <c r="U177" t="s">
        <v>744</v>
      </c>
      <c r="V177" s="4">
        <v>176</v>
      </c>
      <c r="W177" s="4" t="s">
        <v>345</v>
      </c>
      <c r="X177" s="4" t="str">
        <f t="shared" si="9"/>
        <v>76</v>
      </c>
      <c r="Y177" s="4" t="str">
        <f t="shared" si="10"/>
        <v>176</v>
      </c>
      <c r="Z177" s="4" t="str">
        <f t="shared" si="11"/>
        <v>1754310059</v>
      </c>
    </row>
    <row r="178" spans="1:26" x14ac:dyDescent="0.3">
      <c r="A178" s="4">
        <v>1754310061</v>
      </c>
      <c r="B178" s="4">
        <v>177</v>
      </c>
      <c r="C178" s="4" t="s">
        <v>348</v>
      </c>
      <c r="D178" s="4" t="s">
        <v>845</v>
      </c>
      <c r="E178" s="2">
        <v>249</v>
      </c>
      <c r="F178" s="2">
        <v>230</v>
      </c>
      <c r="G178" s="9">
        <v>7.0000000000000007E-2</v>
      </c>
      <c r="H178" s="4">
        <v>3.1</v>
      </c>
      <c r="I178" s="4" t="s">
        <v>18</v>
      </c>
      <c r="J178" s="4" t="s">
        <v>729</v>
      </c>
      <c r="K178" s="4" t="s">
        <v>737</v>
      </c>
      <c r="L178" s="4" t="s">
        <v>261</v>
      </c>
      <c r="M178" s="11" t="s">
        <v>949</v>
      </c>
      <c r="Q178" s="4" t="s">
        <v>177</v>
      </c>
      <c r="R178" t="str">
        <f t="shared" si="8"/>
        <v>Flower</v>
      </c>
      <c r="U178" t="s">
        <v>742</v>
      </c>
      <c r="V178" s="4">
        <v>177</v>
      </c>
      <c r="W178" s="4" t="s">
        <v>347</v>
      </c>
      <c r="X178" s="4" t="str">
        <f t="shared" si="9"/>
        <v>77</v>
      </c>
      <c r="Y178" s="4" t="str">
        <f t="shared" si="10"/>
        <v>177</v>
      </c>
      <c r="Z178" s="4" t="str">
        <f t="shared" si="11"/>
        <v>1754310061</v>
      </c>
    </row>
    <row r="179" spans="1:26" x14ac:dyDescent="0.3">
      <c r="A179" s="4">
        <v>1754310064</v>
      </c>
      <c r="B179" s="4">
        <v>178</v>
      </c>
      <c r="C179" s="4" t="s">
        <v>350</v>
      </c>
      <c r="D179" s="4" t="s">
        <v>846</v>
      </c>
      <c r="E179" s="2">
        <v>599</v>
      </c>
      <c r="F179" s="2">
        <v>140</v>
      </c>
      <c r="G179" s="9">
        <v>0.76</v>
      </c>
      <c r="H179" s="4">
        <v>3.9</v>
      </c>
      <c r="I179" s="4" t="s">
        <v>18</v>
      </c>
      <c r="J179" s="4" t="s">
        <v>723</v>
      </c>
      <c r="K179" s="4" t="s">
        <v>733</v>
      </c>
      <c r="L179" s="4" t="s">
        <v>274</v>
      </c>
      <c r="M179" s="11" t="s">
        <v>949</v>
      </c>
      <c r="Q179" s="4" t="s">
        <v>28</v>
      </c>
      <c r="R179" t="str">
        <f t="shared" si="8"/>
        <v>Herb</v>
      </c>
      <c r="U179" t="s">
        <v>746</v>
      </c>
      <c r="V179" s="4">
        <v>178</v>
      </c>
      <c r="W179" s="4" t="s">
        <v>349</v>
      </c>
      <c r="X179" s="4" t="str">
        <f t="shared" si="9"/>
        <v>78</v>
      </c>
      <c r="Y179" s="4" t="str">
        <f t="shared" si="10"/>
        <v>178</v>
      </c>
      <c r="Z179" s="4" t="str">
        <f t="shared" si="11"/>
        <v>1754310064</v>
      </c>
    </row>
    <row r="180" spans="1:26" x14ac:dyDescent="0.3">
      <c r="A180" s="4">
        <v>1754310066</v>
      </c>
      <c r="B180" s="4">
        <v>179</v>
      </c>
      <c r="C180" s="4" t="s">
        <v>25</v>
      </c>
      <c r="D180" s="4" t="s">
        <v>747</v>
      </c>
      <c r="E180" s="2">
        <v>449</v>
      </c>
      <c r="F180" s="2">
        <v>349</v>
      </c>
      <c r="G180" s="9">
        <v>0.22</v>
      </c>
      <c r="H180" s="4">
        <v>4.3</v>
      </c>
      <c r="I180" s="4" t="s">
        <v>18</v>
      </c>
      <c r="J180" s="4" t="s">
        <v>722</v>
      </c>
      <c r="K180" s="4" t="s">
        <v>733</v>
      </c>
      <c r="L180" s="4" t="s">
        <v>23</v>
      </c>
      <c r="M180" s="11" t="s">
        <v>949</v>
      </c>
      <c r="Q180" s="4" t="s">
        <v>22</v>
      </c>
      <c r="R180" t="str">
        <f t="shared" si="8"/>
        <v>Shrub</v>
      </c>
      <c r="U180" t="s">
        <v>746</v>
      </c>
      <c r="V180" s="4">
        <v>179</v>
      </c>
      <c r="W180" s="4" t="s">
        <v>351</v>
      </c>
      <c r="X180" s="4" t="str">
        <f t="shared" si="9"/>
        <v>79</v>
      </c>
      <c r="Y180" s="4" t="str">
        <f t="shared" si="10"/>
        <v>179</v>
      </c>
      <c r="Z180" s="4" t="str">
        <f t="shared" si="11"/>
        <v>1754310066</v>
      </c>
    </row>
    <row r="181" spans="1:26" x14ac:dyDescent="0.3">
      <c r="A181" s="4">
        <v>1754310069</v>
      </c>
      <c r="B181" s="4">
        <v>180</v>
      </c>
      <c r="C181" s="4" t="s">
        <v>25</v>
      </c>
      <c r="D181" s="4" t="s">
        <v>747</v>
      </c>
      <c r="E181" s="2">
        <v>449</v>
      </c>
      <c r="F181" s="2">
        <v>349</v>
      </c>
      <c r="G181" s="9">
        <v>0.22</v>
      </c>
      <c r="H181" s="4">
        <v>4.3</v>
      </c>
      <c r="I181" s="4" t="s">
        <v>18</v>
      </c>
      <c r="J181" s="4" t="s">
        <v>722</v>
      </c>
      <c r="K181" s="4" t="s">
        <v>733</v>
      </c>
      <c r="L181" s="4" t="s">
        <v>23</v>
      </c>
      <c r="M181" s="11" t="s">
        <v>949</v>
      </c>
      <c r="Q181" s="4" t="s">
        <v>22</v>
      </c>
      <c r="R181" t="str">
        <f t="shared" si="8"/>
        <v>Shrub</v>
      </c>
      <c r="U181" t="s">
        <v>746</v>
      </c>
      <c r="V181" s="4">
        <v>180</v>
      </c>
      <c r="W181" s="4" t="s">
        <v>352</v>
      </c>
      <c r="X181" s="4" t="str">
        <f t="shared" si="9"/>
        <v>80</v>
      </c>
      <c r="Y181" s="4" t="str">
        <f t="shared" si="10"/>
        <v>180</v>
      </c>
      <c r="Z181" s="4" t="str">
        <f t="shared" si="11"/>
        <v>1754310069</v>
      </c>
    </row>
    <row r="182" spans="1:26" x14ac:dyDescent="0.3">
      <c r="A182" s="4">
        <v>1754310071</v>
      </c>
      <c r="B182" s="4">
        <v>181</v>
      </c>
      <c r="C182" s="4" t="s">
        <v>354</v>
      </c>
      <c r="D182" s="4" t="s">
        <v>847</v>
      </c>
      <c r="E182" s="2">
        <v>499</v>
      </c>
      <c r="F182" s="2">
        <v>155</v>
      </c>
      <c r="G182" s="9">
        <v>0.68</v>
      </c>
      <c r="H182" s="4">
        <v>4</v>
      </c>
      <c r="I182" s="4" t="s">
        <v>18</v>
      </c>
      <c r="J182" s="4" t="s">
        <v>730</v>
      </c>
      <c r="K182" s="4" t="s">
        <v>732</v>
      </c>
      <c r="L182" s="4" t="s">
        <v>29</v>
      </c>
      <c r="M182" s="11" t="s">
        <v>949</v>
      </c>
      <c r="Q182" s="4" t="s">
        <v>180</v>
      </c>
      <c r="R182" t="str">
        <f t="shared" si="8"/>
        <v>Tree</v>
      </c>
      <c r="U182" t="s">
        <v>742</v>
      </c>
      <c r="V182" s="4">
        <v>181</v>
      </c>
      <c r="W182" s="4" t="s">
        <v>353</v>
      </c>
      <c r="X182" s="4" t="str">
        <f t="shared" si="9"/>
        <v>81</v>
      </c>
      <c r="Y182" s="4" t="str">
        <f t="shared" si="10"/>
        <v>181</v>
      </c>
      <c r="Z182" s="4" t="str">
        <f t="shared" si="11"/>
        <v>1754310071</v>
      </c>
    </row>
    <row r="183" spans="1:26" x14ac:dyDescent="0.3">
      <c r="A183" s="4">
        <v>1754310074</v>
      </c>
      <c r="B183" s="4">
        <v>182</v>
      </c>
      <c r="C183" s="4" t="s">
        <v>356</v>
      </c>
      <c r="D183" s="4" t="s">
        <v>848</v>
      </c>
      <c r="E183" s="2">
        <v>499</v>
      </c>
      <c r="F183" s="2">
        <v>170</v>
      </c>
      <c r="G183" s="9">
        <v>0.65</v>
      </c>
      <c r="H183" s="4">
        <v>3.3</v>
      </c>
      <c r="I183" s="4" t="s">
        <v>13</v>
      </c>
      <c r="J183" s="4" t="s">
        <v>727</v>
      </c>
      <c r="K183" s="4" t="s">
        <v>737</v>
      </c>
      <c r="L183" s="4" t="s">
        <v>169</v>
      </c>
      <c r="M183" s="11" t="s">
        <v>949</v>
      </c>
      <c r="Q183" s="4" t="s">
        <v>56</v>
      </c>
      <c r="R183" t="str">
        <f t="shared" si="8"/>
        <v>Bamboo</v>
      </c>
      <c r="U183" t="s">
        <v>744</v>
      </c>
      <c r="V183" s="4">
        <v>182</v>
      </c>
      <c r="W183" s="4" t="s">
        <v>355</v>
      </c>
      <c r="X183" s="4" t="str">
        <f t="shared" si="9"/>
        <v>82</v>
      </c>
      <c r="Y183" s="4" t="str">
        <f t="shared" si="10"/>
        <v>182</v>
      </c>
      <c r="Z183" s="4" t="str">
        <f t="shared" si="11"/>
        <v>1754310074</v>
      </c>
    </row>
    <row r="184" spans="1:26" x14ac:dyDescent="0.3">
      <c r="A184" s="4">
        <v>1754310078</v>
      </c>
      <c r="B184" s="4">
        <v>183</v>
      </c>
      <c r="C184" s="4" t="s">
        <v>40</v>
      </c>
      <c r="D184" s="4" t="s">
        <v>752</v>
      </c>
      <c r="E184" s="2">
        <v>499</v>
      </c>
      <c r="F184" s="2">
        <v>424</v>
      </c>
      <c r="G184" s="9">
        <v>0.15</v>
      </c>
      <c r="H184" s="4">
        <v>4.3</v>
      </c>
      <c r="I184" s="4" t="s">
        <v>18</v>
      </c>
      <c r="J184" s="4" t="s">
        <v>724</v>
      </c>
      <c r="K184" s="4" t="s">
        <v>733</v>
      </c>
      <c r="L184" s="4" t="s">
        <v>23</v>
      </c>
      <c r="M184" s="11" t="s">
        <v>949</v>
      </c>
      <c r="Q184" s="4" t="s">
        <v>41</v>
      </c>
      <c r="R184" t="str">
        <f t="shared" si="8"/>
        <v>Succulent</v>
      </c>
      <c r="U184" t="s">
        <v>742</v>
      </c>
      <c r="V184" s="4">
        <v>183</v>
      </c>
      <c r="W184" s="4" t="s">
        <v>357</v>
      </c>
      <c r="X184" s="4" t="str">
        <f t="shared" si="9"/>
        <v>83</v>
      </c>
      <c r="Y184" s="4" t="str">
        <f t="shared" si="10"/>
        <v>183</v>
      </c>
      <c r="Z184" s="4" t="str">
        <f t="shared" si="11"/>
        <v>1754310078</v>
      </c>
    </row>
    <row r="185" spans="1:26" x14ac:dyDescent="0.3">
      <c r="A185" s="4">
        <v>1754310081</v>
      </c>
      <c r="B185" s="4">
        <v>184</v>
      </c>
      <c r="C185" s="4" t="s">
        <v>21</v>
      </c>
      <c r="D185" s="4" t="s">
        <v>745</v>
      </c>
      <c r="E185" s="2">
        <v>449</v>
      </c>
      <c r="F185" s="2">
        <v>359</v>
      </c>
      <c r="G185" s="9">
        <v>0.2</v>
      </c>
      <c r="H185" s="4">
        <v>4.4000000000000004</v>
      </c>
      <c r="I185" s="4" t="s">
        <v>18</v>
      </c>
      <c r="J185" s="4" t="s">
        <v>722</v>
      </c>
      <c r="K185" s="4" t="s">
        <v>733</v>
      </c>
      <c r="L185" s="4" t="s">
        <v>23</v>
      </c>
      <c r="M185" s="11" t="s">
        <v>949</v>
      </c>
      <c r="Q185" s="4" t="s">
        <v>22</v>
      </c>
      <c r="R185" t="str">
        <f t="shared" si="8"/>
        <v>Shrub</v>
      </c>
      <c r="U185" t="s">
        <v>746</v>
      </c>
      <c r="V185" s="4">
        <v>184</v>
      </c>
      <c r="W185" s="4" t="s">
        <v>358</v>
      </c>
      <c r="X185" s="4" t="str">
        <f t="shared" si="9"/>
        <v>84</v>
      </c>
      <c r="Y185" s="4" t="str">
        <f t="shared" si="10"/>
        <v>184</v>
      </c>
      <c r="Z185" s="4" t="str">
        <f t="shared" si="11"/>
        <v>1754310081</v>
      </c>
    </row>
    <row r="186" spans="1:26" x14ac:dyDescent="0.3">
      <c r="A186" s="4">
        <v>1754310086</v>
      </c>
      <c r="B186" s="4">
        <v>185</v>
      </c>
      <c r="C186" s="4" t="s">
        <v>360</v>
      </c>
      <c r="D186" s="4" t="s">
        <v>849</v>
      </c>
      <c r="E186" s="2">
        <v>499</v>
      </c>
      <c r="F186" s="2">
        <v>392</v>
      </c>
      <c r="G186" s="9">
        <v>0.21</v>
      </c>
      <c r="H186" s="4">
        <v>3.9</v>
      </c>
      <c r="I186" s="4" t="s">
        <v>18</v>
      </c>
      <c r="J186" s="4" t="s">
        <v>726</v>
      </c>
      <c r="K186" s="4" t="s">
        <v>733</v>
      </c>
      <c r="L186" s="4" t="s">
        <v>23</v>
      </c>
      <c r="M186" s="11" t="s">
        <v>949</v>
      </c>
      <c r="Q186" s="4" t="s">
        <v>51</v>
      </c>
      <c r="R186" t="str">
        <f t="shared" si="8"/>
        <v>Foliage</v>
      </c>
      <c r="U186" t="s">
        <v>742</v>
      </c>
      <c r="V186" s="4">
        <v>185</v>
      </c>
      <c r="W186" s="4" t="s">
        <v>359</v>
      </c>
      <c r="X186" s="4" t="str">
        <f t="shared" si="9"/>
        <v>85</v>
      </c>
      <c r="Y186" s="4" t="str">
        <f t="shared" si="10"/>
        <v>185</v>
      </c>
      <c r="Z186" s="4" t="str">
        <f t="shared" si="11"/>
        <v>1754310086</v>
      </c>
    </row>
    <row r="187" spans="1:26" x14ac:dyDescent="0.3">
      <c r="A187" s="4">
        <v>1754310089</v>
      </c>
      <c r="B187" s="4">
        <v>186</v>
      </c>
      <c r="C187" s="4" t="s">
        <v>362</v>
      </c>
      <c r="D187" s="4" t="s">
        <v>850</v>
      </c>
      <c r="E187" s="2">
        <v>661</v>
      </c>
      <c r="F187" s="2">
        <v>140</v>
      </c>
      <c r="G187" s="9">
        <v>0.78</v>
      </c>
      <c r="H187" s="4">
        <v>4.3</v>
      </c>
      <c r="I187" s="4" t="s">
        <v>18</v>
      </c>
      <c r="J187" s="4" t="s">
        <v>722</v>
      </c>
      <c r="K187" s="4" t="s">
        <v>732</v>
      </c>
      <c r="L187" s="4" t="s">
        <v>29</v>
      </c>
      <c r="M187" s="11" t="s">
        <v>949</v>
      </c>
      <c r="Q187" s="4" t="s">
        <v>22</v>
      </c>
      <c r="R187" t="str">
        <f t="shared" si="8"/>
        <v>Shrub</v>
      </c>
      <c r="U187" t="s">
        <v>742</v>
      </c>
      <c r="V187" s="4">
        <v>186</v>
      </c>
      <c r="W187" s="4" t="s">
        <v>361</v>
      </c>
      <c r="X187" s="4" t="str">
        <f t="shared" si="9"/>
        <v>86</v>
      </c>
      <c r="Y187" s="4" t="str">
        <f t="shared" si="10"/>
        <v>186</v>
      </c>
      <c r="Z187" s="4" t="str">
        <f t="shared" si="11"/>
        <v>1754310089</v>
      </c>
    </row>
    <row r="188" spans="1:26" x14ac:dyDescent="0.3">
      <c r="A188" s="4">
        <v>1754310094</v>
      </c>
      <c r="B188" s="4">
        <v>187</v>
      </c>
      <c r="C188" s="4" t="s">
        <v>364</v>
      </c>
      <c r="D188" s="4" t="s">
        <v>851</v>
      </c>
      <c r="E188" s="2">
        <v>788</v>
      </c>
      <c r="F188" s="2">
        <v>140</v>
      </c>
      <c r="G188" s="9">
        <v>0.82</v>
      </c>
      <c r="H188" s="4">
        <v>3.7</v>
      </c>
      <c r="I188" s="4" t="s">
        <v>18</v>
      </c>
      <c r="J188" s="4" t="s">
        <v>730</v>
      </c>
      <c r="K188" s="4" t="s">
        <v>737</v>
      </c>
      <c r="L188" s="4" t="s">
        <v>365</v>
      </c>
      <c r="M188" s="11" t="s">
        <v>949</v>
      </c>
      <c r="Q188" s="4" t="s">
        <v>180</v>
      </c>
      <c r="R188" t="str">
        <f t="shared" si="8"/>
        <v>Tree</v>
      </c>
      <c r="U188" t="s">
        <v>742</v>
      </c>
      <c r="V188" s="4">
        <v>187</v>
      </c>
      <c r="W188" s="4" t="s">
        <v>363</v>
      </c>
      <c r="X188" s="4" t="str">
        <f t="shared" si="9"/>
        <v>87</v>
      </c>
      <c r="Y188" s="4" t="str">
        <f t="shared" si="10"/>
        <v>187</v>
      </c>
      <c r="Z188" s="4" t="str">
        <f t="shared" si="11"/>
        <v>1754310094</v>
      </c>
    </row>
    <row r="189" spans="1:26" x14ac:dyDescent="0.3">
      <c r="A189" s="4">
        <v>1754310097</v>
      </c>
      <c r="B189" s="4">
        <v>188</v>
      </c>
      <c r="C189" s="4" t="s">
        <v>367</v>
      </c>
      <c r="D189" s="4" t="s">
        <v>852</v>
      </c>
      <c r="E189" s="2">
        <v>323</v>
      </c>
      <c r="F189" s="2">
        <v>162</v>
      </c>
      <c r="G189" s="9">
        <v>0.49</v>
      </c>
      <c r="H189" s="4">
        <v>3.3</v>
      </c>
      <c r="I189" s="4" t="s">
        <v>13</v>
      </c>
      <c r="J189" s="4" t="s">
        <v>728</v>
      </c>
      <c r="K189" s="4" t="s">
        <v>732</v>
      </c>
      <c r="L189" s="4" t="s">
        <v>368</v>
      </c>
      <c r="M189" s="11" t="s">
        <v>949</v>
      </c>
      <c r="Q189" s="4" t="s">
        <v>68</v>
      </c>
      <c r="R189" t="str">
        <f t="shared" si="8"/>
        <v>Fruit</v>
      </c>
      <c r="U189" t="s">
        <v>742</v>
      </c>
      <c r="V189" s="4">
        <v>188</v>
      </c>
      <c r="W189" s="4" t="s">
        <v>366</v>
      </c>
      <c r="X189" s="4" t="str">
        <f t="shared" si="9"/>
        <v>88</v>
      </c>
      <c r="Y189" s="4" t="str">
        <f t="shared" si="10"/>
        <v>188</v>
      </c>
      <c r="Z189" s="4" t="str">
        <f t="shared" si="11"/>
        <v>1754310097</v>
      </c>
    </row>
    <row r="190" spans="1:26" x14ac:dyDescent="0.3">
      <c r="A190" s="4">
        <v>1754310101</v>
      </c>
      <c r="B190" s="4">
        <v>189</v>
      </c>
      <c r="C190" s="4" t="s">
        <v>40</v>
      </c>
      <c r="D190" s="4" t="s">
        <v>752</v>
      </c>
      <c r="E190" s="2">
        <v>449</v>
      </c>
      <c r="F190" s="2">
        <v>335</v>
      </c>
      <c r="G190" s="9">
        <v>0.25</v>
      </c>
      <c r="H190" s="4">
        <v>4</v>
      </c>
      <c r="I190" s="4" t="s">
        <v>18</v>
      </c>
      <c r="J190" s="4" t="s">
        <v>724</v>
      </c>
      <c r="K190" s="4" t="s">
        <v>733</v>
      </c>
      <c r="L190" s="4" t="s">
        <v>23</v>
      </c>
      <c r="M190" s="11" t="s">
        <v>949</v>
      </c>
      <c r="Q190" s="4" t="s">
        <v>41</v>
      </c>
      <c r="R190" t="str">
        <f t="shared" si="8"/>
        <v>Succulent</v>
      </c>
      <c r="U190" t="s">
        <v>742</v>
      </c>
      <c r="V190" s="4">
        <v>189</v>
      </c>
      <c r="W190" s="4" t="s">
        <v>369</v>
      </c>
      <c r="X190" s="4" t="str">
        <f t="shared" si="9"/>
        <v>89</v>
      </c>
      <c r="Y190" s="4" t="str">
        <f t="shared" si="10"/>
        <v>189</v>
      </c>
      <c r="Z190" s="4" t="str">
        <f t="shared" si="11"/>
        <v>1754310101</v>
      </c>
    </row>
    <row r="191" spans="1:26" x14ac:dyDescent="0.3">
      <c r="A191" s="4">
        <v>1754310105</v>
      </c>
      <c r="B191" s="4">
        <v>190</v>
      </c>
      <c r="C191" s="4" t="s">
        <v>40</v>
      </c>
      <c r="D191" s="4" t="s">
        <v>752</v>
      </c>
      <c r="E191" s="2">
        <v>499</v>
      </c>
      <c r="F191" s="2">
        <v>426</v>
      </c>
      <c r="G191" s="9">
        <v>0.14000000000000001</v>
      </c>
      <c r="H191" s="4">
        <v>4.2</v>
      </c>
      <c r="I191" s="4" t="s">
        <v>18</v>
      </c>
      <c r="J191" s="4" t="s">
        <v>724</v>
      </c>
      <c r="K191" s="4" t="s">
        <v>733</v>
      </c>
      <c r="L191" s="4" t="s">
        <v>23</v>
      </c>
      <c r="M191" s="11" t="s">
        <v>949</v>
      </c>
      <c r="Q191" s="4" t="s">
        <v>41</v>
      </c>
      <c r="R191" t="str">
        <f t="shared" si="8"/>
        <v>Succulent</v>
      </c>
      <c r="U191" t="s">
        <v>742</v>
      </c>
      <c r="V191" s="4">
        <v>190</v>
      </c>
      <c r="W191" s="4" t="s">
        <v>370</v>
      </c>
      <c r="X191" s="4" t="str">
        <f t="shared" si="9"/>
        <v>90</v>
      </c>
      <c r="Y191" s="4" t="str">
        <f t="shared" si="10"/>
        <v>190</v>
      </c>
      <c r="Z191" s="4" t="str">
        <f t="shared" si="11"/>
        <v>1754310105</v>
      </c>
    </row>
    <row r="192" spans="1:26" x14ac:dyDescent="0.3">
      <c r="A192" s="4">
        <v>1754310109</v>
      </c>
      <c r="B192" s="4">
        <v>191</v>
      </c>
      <c r="C192" s="4" t="s">
        <v>372</v>
      </c>
      <c r="D192" s="4" t="s">
        <v>853</v>
      </c>
      <c r="E192" s="2">
        <v>399</v>
      </c>
      <c r="F192" s="2">
        <v>169</v>
      </c>
      <c r="G192" s="9">
        <v>0.56999999999999995</v>
      </c>
      <c r="H192" s="4">
        <v>4</v>
      </c>
      <c r="I192" s="4" t="s">
        <v>13</v>
      </c>
      <c r="J192" s="4" t="s">
        <v>728</v>
      </c>
      <c r="K192" s="4" t="s">
        <v>737</v>
      </c>
      <c r="L192" s="4" t="s">
        <v>244</v>
      </c>
      <c r="M192" s="11" t="s">
        <v>949</v>
      </c>
      <c r="Q192" s="4" t="s">
        <v>68</v>
      </c>
      <c r="R192" t="str">
        <f t="shared" si="8"/>
        <v>Fruit</v>
      </c>
      <c r="U192" t="s">
        <v>742</v>
      </c>
      <c r="V192" s="4">
        <v>191</v>
      </c>
      <c r="W192" s="4" t="s">
        <v>371</v>
      </c>
      <c r="X192" s="4" t="str">
        <f t="shared" si="9"/>
        <v>91</v>
      </c>
      <c r="Y192" s="4" t="str">
        <f t="shared" si="10"/>
        <v>191</v>
      </c>
      <c r="Z192" s="4" t="str">
        <f t="shared" si="11"/>
        <v>1754310109</v>
      </c>
    </row>
    <row r="193" spans="1:26" x14ac:dyDescent="0.3">
      <c r="A193" s="4">
        <v>1754310116</v>
      </c>
      <c r="B193" s="4">
        <v>192</v>
      </c>
      <c r="C193" s="4" t="s">
        <v>374</v>
      </c>
      <c r="D193" s="4" t="s">
        <v>854</v>
      </c>
      <c r="E193" s="2">
        <v>999</v>
      </c>
      <c r="F193" s="2">
        <v>279</v>
      </c>
      <c r="G193" s="9">
        <v>0.72</v>
      </c>
      <c r="H193" s="4">
        <v>4</v>
      </c>
      <c r="I193" s="4" t="s">
        <v>13</v>
      </c>
      <c r="J193" s="4" t="s">
        <v>728</v>
      </c>
      <c r="K193" s="4" t="s">
        <v>737</v>
      </c>
      <c r="L193" s="4" t="s">
        <v>121</v>
      </c>
      <c r="M193" s="11" t="s">
        <v>949</v>
      </c>
      <c r="Q193" s="4" t="s">
        <v>68</v>
      </c>
      <c r="R193" t="str">
        <f t="shared" si="8"/>
        <v>Fruit</v>
      </c>
      <c r="U193" t="s">
        <v>742</v>
      </c>
      <c r="V193" s="4">
        <v>192</v>
      </c>
      <c r="W193" s="4" t="s">
        <v>373</v>
      </c>
      <c r="X193" s="4" t="str">
        <f t="shared" si="9"/>
        <v>92</v>
      </c>
      <c r="Y193" s="4" t="str">
        <f t="shared" si="10"/>
        <v>192</v>
      </c>
      <c r="Z193" s="4" t="str">
        <f t="shared" si="11"/>
        <v>1754310116</v>
      </c>
    </row>
    <row r="194" spans="1:26" x14ac:dyDescent="0.3">
      <c r="A194" s="4">
        <v>1754310119</v>
      </c>
      <c r="B194" s="4">
        <v>193</v>
      </c>
      <c r="C194" s="4" t="s">
        <v>40</v>
      </c>
      <c r="D194" s="4" t="s">
        <v>752</v>
      </c>
      <c r="E194" s="2">
        <v>499</v>
      </c>
      <c r="F194" s="2">
        <v>335</v>
      </c>
      <c r="G194" s="9">
        <v>0.32</v>
      </c>
      <c r="H194" s="4">
        <v>4</v>
      </c>
      <c r="I194" s="4" t="s">
        <v>18</v>
      </c>
      <c r="J194" s="4" t="s">
        <v>724</v>
      </c>
      <c r="K194" s="4" t="s">
        <v>733</v>
      </c>
      <c r="L194" s="4" t="s">
        <v>23</v>
      </c>
      <c r="M194" s="11" t="s">
        <v>949</v>
      </c>
      <c r="Q194" s="4" t="s">
        <v>41</v>
      </c>
      <c r="R194" t="str">
        <f t="shared" si="8"/>
        <v>Succulent</v>
      </c>
      <c r="U194" t="s">
        <v>742</v>
      </c>
      <c r="V194" s="4">
        <v>193</v>
      </c>
      <c r="W194" s="4" t="s">
        <v>375</v>
      </c>
      <c r="X194" s="4" t="str">
        <f t="shared" si="9"/>
        <v>93</v>
      </c>
      <c r="Y194" s="4" t="str">
        <f t="shared" si="10"/>
        <v>193</v>
      </c>
      <c r="Z194" s="4" t="str">
        <f t="shared" si="11"/>
        <v>1754310119</v>
      </c>
    </row>
    <row r="195" spans="1:26" x14ac:dyDescent="0.3">
      <c r="A195" s="4">
        <v>1754310122</v>
      </c>
      <c r="B195" s="4">
        <v>194</v>
      </c>
      <c r="C195" s="4" t="s">
        <v>21</v>
      </c>
      <c r="D195" s="4" t="s">
        <v>745</v>
      </c>
      <c r="E195" s="2">
        <v>445</v>
      </c>
      <c r="F195" s="2">
        <v>335</v>
      </c>
      <c r="G195" s="9">
        <v>0.24</v>
      </c>
      <c r="H195" s="4">
        <v>4.4000000000000004</v>
      </c>
      <c r="I195" s="4" t="s">
        <v>18</v>
      </c>
      <c r="J195" s="4" t="s">
        <v>722</v>
      </c>
      <c r="K195" s="4" t="s">
        <v>733</v>
      </c>
      <c r="L195" s="4" t="s">
        <v>23</v>
      </c>
      <c r="M195" s="11" t="s">
        <v>949</v>
      </c>
      <c r="Q195" s="4" t="s">
        <v>22</v>
      </c>
      <c r="R195" t="str">
        <f t="shared" ref="R195:R258" si="12">RIGHT(Q195,LEN(Q195)-FIND(" ",Q195,1))</f>
        <v>Shrub</v>
      </c>
      <c r="U195" t="s">
        <v>746</v>
      </c>
      <c r="V195" s="4">
        <v>194</v>
      </c>
      <c r="W195" s="4" t="s">
        <v>376</v>
      </c>
      <c r="X195" s="4" t="str">
        <f t="shared" ref="X195:X258" si="13">RIGHT(W195,2)</f>
        <v>94</v>
      </c>
      <c r="Y195" s="4" t="str">
        <f t="shared" ref="Y195:Y258" si="14">RIGHT(W195,LEN(W195)-FIND("-",W195,1))</f>
        <v>194</v>
      </c>
      <c r="Z195" s="4" t="str">
        <f t="shared" ref="Z195:Z258" si="15">LEFT(W195,FIND("-",W195,1)-1)</f>
        <v>1754310122</v>
      </c>
    </row>
    <row r="196" spans="1:26" x14ac:dyDescent="0.3">
      <c r="A196" s="4">
        <v>1754310125</v>
      </c>
      <c r="B196" s="4">
        <v>195</v>
      </c>
      <c r="C196" s="4" t="s">
        <v>378</v>
      </c>
      <c r="D196" s="4" t="s">
        <v>855</v>
      </c>
      <c r="E196" s="2">
        <v>299</v>
      </c>
      <c r="F196" s="2">
        <v>144</v>
      </c>
      <c r="G196" s="9">
        <v>0.51</v>
      </c>
      <c r="H196" s="4">
        <v>3.3</v>
      </c>
      <c r="I196" s="4" t="s">
        <v>18</v>
      </c>
      <c r="J196" s="4" t="s">
        <v>728</v>
      </c>
      <c r="K196" s="4" t="s">
        <v>737</v>
      </c>
      <c r="L196" s="4" t="s">
        <v>44</v>
      </c>
      <c r="M196" s="11" t="s">
        <v>949</v>
      </c>
      <c r="Q196" s="4" t="s">
        <v>68</v>
      </c>
      <c r="R196" t="str">
        <f t="shared" si="12"/>
        <v>Fruit</v>
      </c>
      <c r="U196" t="s">
        <v>742</v>
      </c>
      <c r="V196" s="4">
        <v>195</v>
      </c>
      <c r="W196" s="4" t="s">
        <v>377</v>
      </c>
      <c r="X196" s="4" t="str">
        <f t="shared" si="13"/>
        <v>95</v>
      </c>
      <c r="Y196" s="4" t="str">
        <f t="shared" si="14"/>
        <v>195</v>
      </c>
      <c r="Z196" s="4" t="str">
        <f t="shared" si="15"/>
        <v>1754310125</v>
      </c>
    </row>
    <row r="197" spans="1:26" x14ac:dyDescent="0.3">
      <c r="A197" s="4">
        <v>1754310129</v>
      </c>
      <c r="B197" s="4">
        <v>196</v>
      </c>
      <c r="C197" s="4" t="s">
        <v>380</v>
      </c>
      <c r="D197" s="4" t="s">
        <v>856</v>
      </c>
      <c r="E197" s="2">
        <v>299</v>
      </c>
      <c r="F197" s="2">
        <v>176</v>
      </c>
      <c r="G197" s="9">
        <v>0.41</v>
      </c>
      <c r="H197" s="4">
        <v>3.7</v>
      </c>
      <c r="I197" s="4" t="s">
        <v>13</v>
      </c>
      <c r="J197" s="4" t="s">
        <v>728</v>
      </c>
      <c r="K197" s="4" t="s">
        <v>737</v>
      </c>
      <c r="L197" s="4" t="s">
        <v>29</v>
      </c>
      <c r="M197" s="11" t="s">
        <v>949</v>
      </c>
      <c r="Q197" s="4" t="s">
        <v>68</v>
      </c>
      <c r="R197" t="str">
        <f t="shared" si="12"/>
        <v>Fruit</v>
      </c>
      <c r="U197" t="s">
        <v>742</v>
      </c>
      <c r="V197" s="4">
        <v>196</v>
      </c>
      <c r="W197" s="4" t="s">
        <v>379</v>
      </c>
      <c r="X197" s="4" t="str">
        <f t="shared" si="13"/>
        <v>96</v>
      </c>
      <c r="Y197" s="4" t="str">
        <f t="shared" si="14"/>
        <v>196</v>
      </c>
      <c r="Z197" s="4" t="str">
        <f t="shared" si="15"/>
        <v>1754310129</v>
      </c>
    </row>
    <row r="198" spans="1:26" x14ac:dyDescent="0.3">
      <c r="A198" s="4">
        <v>1754310134</v>
      </c>
      <c r="B198" s="4">
        <v>197</v>
      </c>
      <c r="C198" s="4" t="s">
        <v>382</v>
      </c>
      <c r="D198" s="4" t="s">
        <v>857</v>
      </c>
      <c r="E198" s="2">
        <v>1500</v>
      </c>
      <c r="F198" s="2">
        <v>994</v>
      </c>
      <c r="G198" s="9">
        <v>0.33</v>
      </c>
      <c r="H198" s="4">
        <v>3.6</v>
      </c>
      <c r="I198" s="4" t="s">
        <v>18</v>
      </c>
      <c r="J198" s="4" t="s">
        <v>724</v>
      </c>
      <c r="K198" s="4" t="s">
        <v>737</v>
      </c>
      <c r="L198" s="4" t="s">
        <v>383</v>
      </c>
      <c r="M198" s="11" t="s">
        <v>949</v>
      </c>
      <c r="Q198" s="4" t="s">
        <v>41</v>
      </c>
      <c r="R198" t="str">
        <f t="shared" si="12"/>
        <v>Succulent</v>
      </c>
      <c r="U198" t="s">
        <v>858</v>
      </c>
      <c r="V198" s="4">
        <v>197</v>
      </c>
      <c r="W198" s="4" t="s">
        <v>381</v>
      </c>
      <c r="X198" s="4" t="str">
        <f t="shared" si="13"/>
        <v>97</v>
      </c>
      <c r="Y198" s="4" t="str">
        <f t="shared" si="14"/>
        <v>197</v>
      </c>
      <c r="Z198" s="4" t="str">
        <f t="shared" si="15"/>
        <v>1754310134</v>
      </c>
    </row>
    <row r="199" spans="1:26" x14ac:dyDescent="0.3">
      <c r="A199" s="4">
        <v>1754310140</v>
      </c>
      <c r="B199" s="4">
        <v>198</v>
      </c>
      <c r="C199" s="4" t="s">
        <v>385</v>
      </c>
      <c r="D199" s="4" t="s">
        <v>859</v>
      </c>
      <c r="E199" s="2">
        <v>399</v>
      </c>
      <c r="F199" s="2">
        <v>182</v>
      </c>
      <c r="G199" s="9">
        <v>0.54</v>
      </c>
      <c r="H199" s="4">
        <v>4</v>
      </c>
      <c r="I199" s="4" t="s">
        <v>13</v>
      </c>
      <c r="J199" s="4" t="s">
        <v>729</v>
      </c>
      <c r="K199" s="4" t="s">
        <v>737</v>
      </c>
      <c r="L199" s="4" t="s">
        <v>386</v>
      </c>
      <c r="M199" s="11" t="s">
        <v>949</v>
      </c>
      <c r="Q199" s="4" t="s">
        <v>177</v>
      </c>
      <c r="R199" t="str">
        <f t="shared" si="12"/>
        <v>Flower</v>
      </c>
      <c r="U199" t="s">
        <v>742</v>
      </c>
      <c r="V199" s="4">
        <v>198</v>
      </c>
      <c r="W199" s="4" t="s">
        <v>384</v>
      </c>
      <c r="X199" s="4" t="str">
        <f t="shared" si="13"/>
        <v>98</v>
      </c>
      <c r="Y199" s="4" t="str">
        <f t="shared" si="14"/>
        <v>198</v>
      </c>
      <c r="Z199" s="4" t="str">
        <f t="shared" si="15"/>
        <v>1754310140</v>
      </c>
    </row>
    <row r="200" spans="1:26" x14ac:dyDescent="0.3">
      <c r="A200" s="4">
        <v>1754310142</v>
      </c>
      <c r="B200" s="4">
        <v>199</v>
      </c>
      <c r="C200" s="4" t="s">
        <v>40</v>
      </c>
      <c r="D200" s="4" t="s">
        <v>752</v>
      </c>
      <c r="E200" s="2">
        <v>495</v>
      </c>
      <c r="F200" s="2">
        <v>331</v>
      </c>
      <c r="G200" s="9">
        <v>0.33</v>
      </c>
      <c r="H200" s="4">
        <v>4.0999999999999996</v>
      </c>
      <c r="I200" s="4" t="s">
        <v>18</v>
      </c>
      <c r="J200" s="4" t="s">
        <v>724</v>
      </c>
      <c r="K200" s="4" t="s">
        <v>733</v>
      </c>
      <c r="L200" s="4" t="s">
        <v>23</v>
      </c>
      <c r="M200" s="11" t="s">
        <v>949</v>
      </c>
      <c r="Q200" s="4" t="s">
        <v>41</v>
      </c>
      <c r="R200" t="str">
        <f t="shared" si="12"/>
        <v>Succulent</v>
      </c>
      <c r="U200" t="s">
        <v>742</v>
      </c>
      <c r="V200" s="4">
        <v>199</v>
      </c>
      <c r="W200" s="4" t="s">
        <v>387</v>
      </c>
      <c r="X200" s="4" t="str">
        <f t="shared" si="13"/>
        <v>99</v>
      </c>
      <c r="Y200" s="4" t="str">
        <f t="shared" si="14"/>
        <v>199</v>
      </c>
      <c r="Z200" s="4" t="str">
        <f t="shared" si="15"/>
        <v>1754310142</v>
      </c>
    </row>
    <row r="201" spans="1:26" x14ac:dyDescent="0.3">
      <c r="A201" s="4">
        <v>1754310147</v>
      </c>
      <c r="B201" s="4">
        <v>200</v>
      </c>
      <c r="C201" s="4" t="s">
        <v>40</v>
      </c>
      <c r="D201" s="4" t="s">
        <v>752</v>
      </c>
      <c r="E201" s="2">
        <v>349</v>
      </c>
      <c r="F201" s="2">
        <v>325</v>
      </c>
      <c r="G201" s="9">
        <v>0.06</v>
      </c>
      <c r="H201" s="4">
        <v>4</v>
      </c>
      <c r="I201" s="4" t="s">
        <v>18</v>
      </c>
      <c r="J201" s="4" t="s">
        <v>724</v>
      </c>
      <c r="K201" s="4" t="s">
        <v>733</v>
      </c>
      <c r="L201" s="4" t="s">
        <v>23</v>
      </c>
      <c r="M201" s="11" t="s">
        <v>949</v>
      </c>
      <c r="Q201" s="4" t="s">
        <v>41</v>
      </c>
      <c r="R201" t="str">
        <f t="shared" si="12"/>
        <v>Succulent</v>
      </c>
      <c r="U201" t="s">
        <v>746</v>
      </c>
      <c r="V201" s="4">
        <v>200</v>
      </c>
      <c r="W201" s="4" t="s">
        <v>388</v>
      </c>
      <c r="X201" s="4" t="str">
        <f t="shared" si="13"/>
        <v>00</v>
      </c>
      <c r="Y201" s="4" t="str">
        <f t="shared" si="14"/>
        <v>200</v>
      </c>
      <c r="Z201" s="4" t="str">
        <f t="shared" si="15"/>
        <v>1754310147</v>
      </c>
    </row>
    <row r="202" spans="1:26" x14ac:dyDescent="0.3">
      <c r="A202" s="4">
        <v>1754310154</v>
      </c>
      <c r="B202" s="4">
        <v>201</v>
      </c>
      <c r="C202" s="4" t="s">
        <v>390</v>
      </c>
      <c r="D202" s="4" t="s">
        <v>860</v>
      </c>
      <c r="E202" s="2">
        <v>369</v>
      </c>
      <c r="F202" s="2">
        <v>132</v>
      </c>
      <c r="G202" s="9">
        <v>0.64</v>
      </c>
      <c r="H202" s="4">
        <v>3.5</v>
      </c>
      <c r="I202" s="4" t="s">
        <v>18</v>
      </c>
      <c r="J202" s="4" t="s">
        <v>728</v>
      </c>
      <c r="K202" s="4" t="s">
        <v>732</v>
      </c>
      <c r="L202" s="4" t="s">
        <v>121</v>
      </c>
      <c r="M202" s="11" t="s">
        <v>949</v>
      </c>
      <c r="Q202" s="4" t="s">
        <v>68</v>
      </c>
      <c r="R202" t="str">
        <f t="shared" si="12"/>
        <v>Fruit</v>
      </c>
      <c r="U202" t="s">
        <v>742</v>
      </c>
      <c r="V202" s="4">
        <v>201</v>
      </c>
      <c r="W202" s="4" t="s">
        <v>389</v>
      </c>
      <c r="X202" s="4" t="str">
        <f t="shared" si="13"/>
        <v>01</v>
      </c>
      <c r="Y202" s="4" t="str">
        <f t="shared" si="14"/>
        <v>201</v>
      </c>
      <c r="Z202" s="4" t="str">
        <f t="shared" si="15"/>
        <v>1754310154</v>
      </c>
    </row>
    <row r="203" spans="1:26" x14ac:dyDescent="0.3">
      <c r="A203" s="4">
        <v>1754310157</v>
      </c>
      <c r="B203" s="4">
        <v>202</v>
      </c>
      <c r="C203" s="4" t="s">
        <v>392</v>
      </c>
      <c r="D203" s="4" t="s">
        <v>861</v>
      </c>
      <c r="E203" s="2">
        <v>1000</v>
      </c>
      <c r="F203" s="2">
        <v>179</v>
      </c>
      <c r="G203" s="9">
        <v>0.82</v>
      </c>
      <c r="H203" s="4">
        <v>4</v>
      </c>
      <c r="I203" s="4" t="s">
        <v>18</v>
      </c>
      <c r="J203" s="4" t="s">
        <v>724</v>
      </c>
      <c r="K203" s="4" t="s">
        <v>737</v>
      </c>
      <c r="L203" s="4" t="s">
        <v>261</v>
      </c>
      <c r="M203" s="11" t="s">
        <v>949</v>
      </c>
      <c r="Q203" s="4" t="s">
        <v>41</v>
      </c>
      <c r="R203" t="str">
        <f t="shared" si="12"/>
        <v>Succulent</v>
      </c>
      <c r="U203" t="s">
        <v>862</v>
      </c>
      <c r="V203" s="4">
        <v>202</v>
      </c>
      <c r="W203" s="4" t="s">
        <v>391</v>
      </c>
      <c r="X203" s="4" t="str">
        <f t="shared" si="13"/>
        <v>02</v>
      </c>
      <c r="Y203" s="4" t="str">
        <f t="shared" si="14"/>
        <v>202</v>
      </c>
      <c r="Z203" s="4" t="str">
        <f t="shared" si="15"/>
        <v>1754310157</v>
      </c>
    </row>
    <row r="204" spans="1:26" x14ac:dyDescent="0.3">
      <c r="A204" s="4">
        <v>1754310159</v>
      </c>
      <c r="B204" s="4">
        <v>203</v>
      </c>
      <c r="C204" s="4" t="s">
        <v>21</v>
      </c>
      <c r="D204" s="4" t="s">
        <v>745</v>
      </c>
      <c r="E204" s="2">
        <v>449</v>
      </c>
      <c r="F204" s="2">
        <v>384</v>
      </c>
      <c r="G204" s="9">
        <v>0.14000000000000001</v>
      </c>
      <c r="H204" s="4">
        <v>4.4000000000000004</v>
      </c>
      <c r="I204" s="4" t="s">
        <v>18</v>
      </c>
      <c r="J204" s="4" t="s">
        <v>722</v>
      </c>
      <c r="K204" s="4" t="s">
        <v>733</v>
      </c>
      <c r="L204" s="4" t="s">
        <v>23</v>
      </c>
      <c r="M204" s="11" t="s">
        <v>949</v>
      </c>
      <c r="Q204" s="4" t="s">
        <v>22</v>
      </c>
      <c r="R204" t="str">
        <f t="shared" si="12"/>
        <v>Shrub</v>
      </c>
      <c r="U204" t="s">
        <v>746</v>
      </c>
      <c r="V204" s="4">
        <v>203</v>
      </c>
      <c r="W204" s="4" t="s">
        <v>393</v>
      </c>
      <c r="X204" s="4" t="str">
        <f t="shared" si="13"/>
        <v>03</v>
      </c>
      <c r="Y204" s="4" t="str">
        <f t="shared" si="14"/>
        <v>203</v>
      </c>
      <c r="Z204" s="4" t="str">
        <f t="shared" si="15"/>
        <v>1754310159</v>
      </c>
    </row>
    <row r="205" spans="1:26" x14ac:dyDescent="0.3">
      <c r="A205" s="4">
        <v>1754310163</v>
      </c>
      <c r="B205" s="4">
        <v>204</v>
      </c>
      <c r="C205" s="4" t="s">
        <v>25</v>
      </c>
      <c r="D205" s="4" t="s">
        <v>747</v>
      </c>
      <c r="E205" s="2">
        <v>449</v>
      </c>
      <c r="F205" s="2">
        <v>349</v>
      </c>
      <c r="G205" s="9">
        <v>0.22</v>
      </c>
      <c r="H205" s="4">
        <v>4.3</v>
      </c>
      <c r="I205" s="4" t="s">
        <v>18</v>
      </c>
      <c r="J205" s="4" t="s">
        <v>722</v>
      </c>
      <c r="K205" s="4" t="s">
        <v>733</v>
      </c>
      <c r="L205" s="4" t="s">
        <v>23</v>
      </c>
      <c r="M205" s="11" t="s">
        <v>949</v>
      </c>
      <c r="Q205" s="4" t="s">
        <v>22</v>
      </c>
      <c r="R205" t="str">
        <f t="shared" si="12"/>
        <v>Shrub</v>
      </c>
      <c r="U205" t="s">
        <v>746</v>
      </c>
      <c r="V205" s="4">
        <v>204</v>
      </c>
      <c r="W205" s="4" t="s">
        <v>394</v>
      </c>
      <c r="X205" s="4" t="str">
        <f t="shared" si="13"/>
        <v>04</v>
      </c>
      <c r="Y205" s="4" t="str">
        <f t="shared" si="14"/>
        <v>204</v>
      </c>
      <c r="Z205" s="4" t="str">
        <f t="shared" si="15"/>
        <v>1754310163</v>
      </c>
    </row>
    <row r="206" spans="1:26" x14ac:dyDescent="0.3">
      <c r="A206" s="4">
        <v>1754310165</v>
      </c>
      <c r="B206" s="4">
        <v>205</v>
      </c>
      <c r="C206" s="4" t="s">
        <v>396</v>
      </c>
      <c r="D206" s="4" t="s">
        <v>863</v>
      </c>
      <c r="E206" s="2">
        <v>999</v>
      </c>
      <c r="F206" s="2">
        <v>270</v>
      </c>
      <c r="G206" s="9">
        <v>0.72</v>
      </c>
      <c r="H206" s="4">
        <v>4</v>
      </c>
      <c r="I206" s="4" t="s">
        <v>18</v>
      </c>
      <c r="J206" s="4" t="s">
        <v>728</v>
      </c>
      <c r="K206" s="4" t="s">
        <v>737</v>
      </c>
      <c r="L206" s="4" t="s">
        <v>57</v>
      </c>
      <c r="M206" s="11" t="s">
        <v>949</v>
      </c>
      <c r="Q206" s="4" t="s">
        <v>68</v>
      </c>
      <c r="R206" t="str">
        <f t="shared" si="12"/>
        <v>Fruit</v>
      </c>
      <c r="U206" t="s">
        <v>742</v>
      </c>
      <c r="V206" s="4">
        <v>205</v>
      </c>
      <c r="W206" s="4" t="s">
        <v>395</v>
      </c>
      <c r="X206" s="4" t="str">
        <f t="shared" si="13"/>
        <v>05</v>
      </c>
      <c r="Y206" s="4" t="str">
        <f t="shared" si="14"/>
        <v>205</v>
      </c>
      <c r="Z206" s="4" t="str">
        <f t="shared" si="15"/>
        <v>1754310165</v>
      </c>
    </row>
    <row r="207" spans="1:26" x14ac:dyDescent="0.3">
      <c r="A207" s="4">
        <v>1754310168</v>
      </c>
      <c r="B207" s="4">
        <v>206</v>
      </c>
      <c r="C207" s="4" t="s">
        <v>398</v>
      </c>
      <c r="D207" s="4" t="s">
        <v>864</v>
      </c>
      <c r="E207" s="2">
        <v>499</v>
      </c>
      <c r="F207" s="2">
        <v>157</v>
      </c>
      <c r="G207" s="9">
        <v>0.68</v>
      </c>
      <c r="H207" s="4">
        <v>3.6</v>
      </c>
      <c r="I207" s="4" t="s">
        <v>13</v>
      </c>
      <c r="J207" s="4" t="s">
        <v>728</v>
      </c>
      <c r="K207" s="4" t="s">
        <v>732</v>
      </c>
      <c r="L207" s="4" t="s">
        <v>29</v>
      </c>
      <c r="M207" s="11" t="s">
        <v>949</v>
      </c>
      <c r="Q207" s="4" t="s">
        <v>68</v>
      </c>
      <c r="R207" t="str">
        <f t="shared" si="12"/>
        <v>Fruit</v>
      </c>
      <c r="U207" t="s">
        <v>742</v>
      </c>
      <c r="V207" s="4">
        <v>206</v>
      </c>
      <c r="W207" s="4" t="s">
        <v>397</v>
      </c>
      <c r="X207" s="4" t="str">
        <f t="shared" si="13"/>
        <v>06</v>
      </c>
      <c r="Y207" s="4" t="str">
        <f t="shared" si="14"/>
        <v>206</v>
      </c>
      <c r="Z207" s="4" t="str">
        <f t="shared" si="15"/>
        <v>1754310168</v>
      </c>
    </row>
    <row r="208" spans="1:26" x14ac:dyDescent="0.3">
      <c r="A208" s="4">
        <v>1754310170</v>
      </c>
      <c r="B208" s="4">
        <v>207</v>
      </c>
      <c r="C208" s="4" t="s">
        <v>400</v>
      </c>
      <c r="D208" s="4" t="s">
        <v>865</v>
      </c>
      <c r="E208" s="2">
        <v>370</v>
      </c>
      <c r="F208" s="2">
        <v>193</v>
      </c>
      <c r="G208" s="9">
        <v>0.47</v>
      </c>
      <c r="H208" s="4">
        <v>3.1</v>
      </c>
      <c r="I208" s="4" t="s">
        <v>18</v>
      </c>
      <c r="J208" s="4" t="s">
        <v>728</v>
      </c>
      <c r="K208" s="4" t="s">
        <v>737</v>
      </c>
      <c r="L208" s="4" t="s">
        <v>79</v>
      </c>
      <c r="M208" s="11" t="s">
        <v>949</v>
      </c>
      <c r="Q208" s="4" t="s">
        <v>68</v>
      </c>
      <c r="R208" t="str">
        <f t="shared" si="12"/>
        <v>Fruit</v>
      </c>
      <c r="U208" t="s">
        <v>742</v>
      </c>
      <c r="V208" s="4">
        <v>207</v>
      </c>
      <c r="W208" s="4" t="s">
        <v>399</v>
      </c>
      <c r="X208" s="4" t="str">
        <f t="shared" si="13"/>
        <v>07</v>
      </c>
      <c r="Y208" s="4" t="str">
        <f t="shared" si="14"/>
        <v>207</v>
      </c>
      <c r="Z208" s="4" t="str">
        <f t="shared" si="15"/>
        <v>1754310170</v>
      </c>
    </row>
    <row r="209" spans="1:26" x14ac:dyDescent="0.3">
      <c r="A209" s="4">
        <v>1754310173</v>
      </c>
      <c r="B209" s="4">
        <v>208</v>
      </c>
      <c r="C209" s="4" t="s">
        <v>402</v>
      </c>
      <c r="D209" s="4" t="s">
        <v>866</v>
      </c>
      <c r="E209" s="2">
        <v>399</v>
      </c>
      <c r="F209" s="2">
        <v>199</v>
      </c>
      <c r="G209" s="9">
        <v>0.5</v>
      </c>
      <c r="H209" s="4">
        <v>1</v>
      </c>
      <c r="I209" s="4" t="s">
        <v>13</v>
      </c>
      <c r="J209" s="4" t="s">
        <v>729</v>
      </c>
      <c r="K209" s="4" t="s">
        <v>737</v>
      </c>
      <c r="L209" s="4" t="s">
        <v>172</v>
      </c>
      <c r="M209" s="11" t="s">
        <v>949</v>
      </c>
      <c r="Q209" s="4" t="s">
        <v>177</v>
      </c>
      <c r="R209" t="str">
        <f t="shared" si="12"/>
        <v>Flower</v>
      </c>
      <c r="U209" t="s">
        <v>742</v>
      </c>
      <c r="V209" s="4">
        <v>208</v>
      </c>
      <c r="W209" s="4" t="s">
        <v>401</v>
      </c>
      <c r="X209" s="4" t="str">
        <f t="shared" si="13"/>
        <v>08</v>
      </c>
      <c r="Y209" s="4" t="str">
        <f t="shared" si="14"/>
        <v>208</v>
      </c>
      <c r="Z209" s="4" t="str">
        <f t="shared" si="15"/>
        <v>1754310173</v>
      </c>
    </row>
    <row r="210" spans="1:26" x14ac:dyDescent="0.3">
      <c r="A210" s="4">
        <v>1754310175</v>
      </c>
      <c r="B210" s="4">
        <v>209</v>
      </c>
      <c r="C210" s="4" t="s">
        <v>21</v>
      </c>
      <c r="D210" s="4" t="s">
        <v>745</v>
      </c>
      <c r="E210" s="2">
        <v>449</v>
      </c>
      <c r="F210" s="2">
        <v>384</v>
      </c>
      <c r="G210" s="9">
        <v>0.14000000000000001</v>
      </c>
      <c r="H210" s="4">
        <v>4.4000000000000004</v>
      </c>
      <c r="I210" s="4" t="s">
        <v>18</v>
      </c>
      <c r="J210" s="4" t="s">
        <v>722</v>
      </c>
      <c r="K210" s="4" t="s">
        <v>733</v>
      </c>
      <c r="L210" s="4" t="s">
        <v>23</v>
      </c>
      <c r="M210" s="11" t="s">
        <v>949</v>
      </c>
      <c r="Q210" s="4" t="s">
        <v>22</v>
      </c>
      <c r="R210" t="str">
        <f t="shared" si="12"/>
        <v>Shrub</v>
      </c>
      <c r="U210" t="s">
        <v>746</v>
      </c>
      <c r="V210" s="4">
        <v>209</v>
      </c>
      <c r="W210" s="4" t="s">
        <v>403</v>
      </c>
      <c r="X210" s="4" t="str">
        <f t="shared" si="13"/>
        <v>09</v>
      </c>
      <c r="Y210" s="4" t="str">
        <f t="shared" si="14"/>
        <v>209</v>
      </c>
      <c r="Z210" s="4" t="str">
        <f t="shared" si="15"/>
        <v>1754310175</v>
      </c>
    </row>
    <row r="211" spans="1:26" x14ac:dyDescent="0.3">
      <c r="A211" s="4">
        <v>1754310178</v>
      </c>
      <c r="B211" s="4">
        <v>210</v>
      </c>
      <c r="C211" s="4" t="s">
        <v>40</v>
      </c>
      <c r="D211" s="4" t="s">
        <v>752</v>
      </c>
      <c r="E211" s="2">
        <v>499</v>
      </c>
      <c r="F211" s="2">
        <v>335</v>
      </c>
      <c r="G211" s="9">
        <v>0.32</v>
      </c>
      <c r="H211" s="4">
        <v>4</v>
      </c>
      <c r="I211" s="4" t="s">
        <v>18</v>
      </c>
      <c r="J211" s="4" t="s">
        <v>724</v>
      </c>
      <c r="K211" s="4" t="s">
        <v>733</v>
      </c>
      <c r="L211" s="4" t="s">
        <v>23</v>
      </c>
      <c r="M211" s="11" t="s">
        <v>949</v>
      </c>
      <c r="Q211" s="4" t="s">
        <v>41</v>
      </c>
      <c r="R211" t="str">
        <f t="shared" si="12"/>
        <v>Succulent</v>
      </c>
      <c r="U211" t="s">
        <v>742</v>
      </c>
      <c r="V211" s="4">
        <v>210</v>
      </c>
      <c r="W211" s="4" t="s">
        <v>404</v>
      </c>
      <c r="X211" s="4" t="str">
        <f t="shared" si="13"/>
        <v>10</v>
      </c>
      <c r="Y211" s="4" t="str">
        <f t="shared" si="14"/>
        <v>210</v>
      </c>
      <c r="Z211" s="4" t="str">
        <f t="shared" si="15"/>
        <v>1754310178</v>
      </c>
    </row>
    <row r="212" spans="1:26" x14ac:dyDescent="0.3">
      <c r="A212" s="4">
        <v>1754310180</v>
      </c>
      <c r="B212" s="4">
        <v>211</v>
      </c>
      <c r="C212" s="4" t="s">
        <v>396</v>
      </c>
      <c r="D212" s="4" t="s">
        <v>863</v>
      </c>
      <c r="E212" s="2">
        <v>999</v>
      </c>
      <c r="F212" s="2">
        <v>220</v>
      </c>
      <c r="G212" s="9">
        <v>0.77</v>
      </c>
      <c r="H212" s="4">
        <v>4</v>
      </c>
      <c r="I212" s="4" t="s">
        <v>18</v>
      </c>
      <c r="J212" s="4" t="s">
        <v>728</v>
      </c>
      <c r="K212" s="4" t="s">
        <v>737</v>
      </c>
      <c r="L212" s="4" t="s">
        <v>406</v>
      </c>
      <c r="M212" s="11" t="s">
        <v>949</v>
      </c>
      <c r="Q212" s="4" t="s">
        <v>68</v>
      </c>
      <c r="R212" t="str">
        <f t="shared" si="12"/>
        <v>Fruit</v>
      </c>
      <c r="U212" t="s">
        <v>742</v>
      </c>
      <c r="V212" s="4">
        <v>211</v>
      </c>
      <c r="W212" s="4" t="s">
        <v>405</v>
      </c>
      <c r="X212" s="4" t="str">
        <f t="shared" si="13"/>
        <v>11</v>
      </c>
      <c r="Y212" s="4" t="str">
        <f t="shared" si="14"/>
        <v>211</v>
      </c>
      <c r="Z212" s="4" t="str">
        <f t="shared" si="15"/>
        <v>1754310180</v>
      </c>
    </row>
    <row r="213" spans="1:26" x14ac:dyDescent="0.3">
      <c r="A213" s="4">
        <v>1754310183</v>
      </c>
      <c r="B213" s="4">
        <v>212</v>
      </c>
      <c r="C213" s="4" t="s">
        <v>408</v>
      </c>
      <c r="D213" s="4" t="s">
        <v>867</v>
      </c>
      <c r="E213" s="2">
        <v>399</v>
      </c>
      <c r="F213" s="2">
        <v>140</v>
      </c>
      <c r="G213" s="9">
        <v>0.64</v>
      </c>
      <c r="H213" s="4">
        <v>3.6</v>
      </c>
      <c r="I213" s="4" t="s">
        <v>18</v>
      </c>
      <c r="J213" s="4" t="s">
        <v>728</v>
      </c>
      <c r="K213" s="4" t="s">
        <v>737</v>
      </c>
      <c r="L213" s="4" t="s">
        <v>15</v>
      </c>
      <c r="M213" s="11" t="s">
        <v>949</v>
      </c>
      <c r="Q213" s="4" t="s">
        <v>68</v>
      </c>
      <c r="R213" t="str">
        <f t="shared" si="12"/>
        <v>Fruit</v>
      </c>
      <c r="U213" t="s">
        <v>742</v>
      </c>
      <c r="V213" s="4">
        <v>212</v>
      </c>
      <c r="W213" s="4" t="s">
        <v>407</v>
      </c>
      <c r="X213" s="4" t="str">
        <f t="shared" si="13"/>
        <v>12</v>
      </c>
      <c r="Y213" s="4" t="str">
        <f t="shared" si="14"/>
        <v>212</v>
      </c>
      <c r="Z213" s="4" t="str">
        <f t="shared" si="15"/>
        <v>1754310183</v>
      </c>
    </row>
    <row r="214" spans="1:26" x14ac:dyDescent="0.3">
      <c r="A214" s="4">
        <v>1754310185</v>
      </c>
      <c r="B214" s="4">
        <v>213</v>
      </c>
      <c r="C214" s="4" t="s">
        <v>40</v>
      </c>
      <c r="D214" s="4" t="s">
        <v>752</v>
      </c>
      <c r="E214" s="2">
        <v>749</v>
      </c>
      <c r="F214" s="2">
        <v>516</v>
      </c>
      <c r="G214" s="9">
        <v>0.31</v>
      </c>
      <c r="H214" s="4">
        <v>3.6</v>
      </c>
      <c r="I214" s="4" t="s">
        <v>18</v>
      </c>
      <c r="J214" s="4" t="s">
        <v>724</v>
      </c>
      <c r="K214" s="4" t="s">
        <v>733</v>
      </c>
      <c r="L214" s="4" t="s">
        <v>23</v>
      </c>
      <c r="M214" s="11" t="s">
        <v>949</v>
      </c>
      <c r="Q214" s="4" t="s">
        <v>41</v>
      </c>
      <c r="R214" t="str">
        <f t="shared" si="12"/>
        <v>Succulent</v>
      </c>
      <c r="U214" t="s">
        <v>742</v>
      </c>
      <c r="V214" s="4">
        <v>213</v>
      </c>
      <c r="W214" s="4" t="s">
        <v>409</v>
      </c>
      <c r="X214" s="4" t="str">
        <f t="shared" si="13"/>
        <v>13</v>
      </c>
      <c r="Y214" s="4" t="str">
        <f t="shared" si="14"/>
        <v>213</v>
      </c>
      <c r="Z214" s="4" t="str">
        <f t="shared" si="15"/>
        <v>1754310185</v>
      </c>
    </row>
    <row r="215" spans="1:26" x14ac:dyDescent="0.3">
      <c r="A215" s="4">
        <v>1754310188</v>
      </c>
      <c r="B215" s="4">
        <v>214</v>
      </c>
      <c r="C215" s="4" t="s">
        <v>50</v>
      </c>
      <c r="D215" s="4" t="s">
        <v>755</v>
      </c>
      <c r="E215" s="2">
        <v>549</v>
      </c>
      <c r="F215" s="2">
        <v>388</v>
      </c>
      <c r="G215" s="9">
        <v>0.28999999999999998</v>
      </c>
      <c r="H215" s="4">
        <v>4.3</v>
      </c>
      <c r="I215" s="4" t="s">
        <v>18</v>
      </c>
      <c r="J215" s="4" t="s">
        <v>726</v>
      </c>
      <c r="K215" s="4" t="s">
        <v>733</v>
      </c>
      <c r="L215" s="4" t="s">
        <v>23</v>
      </c>
      <c r="M215" s="11" t="s">
        <v>949</v>
      </c>
      <c r="Q215" s="4" t="s">
        <v>51</v>
      </c>
      <c r="R215" t="str">
        <f t="shared" si="12"/>
        <v>Foliage</v>
      </c>
      <c r="U215" t="s">
        <v>742</v>
      </c>
      <c r="V215" s="4">
        <v>214</v>
      </c>
      <c r="W215" s="4" t="s">
        <v>410</v>
      </c>
      <c r="X215" s="4" t="str">
        <f t="shared" si="13"/>
        <v>14</v>
      </c>
      <c r="Y215" s="4" t="str">
        <f t="shared" si="14"/>
        <v>214</v>
      </c>
      <c r="Z215" s="4" t="str">
        <f t="shared" si="15"/>
        <v>1754310188</v>
      </c>
    </row>
    <row r="216" spans="1:26" x14ac:dyDescent="0.3">
      <c r="A216" s="4">
        <v>1754310190</v>
      </c>
      <c r="B216" s="4">
        <v>215</v>
      </c>
      <c r="C216" s="4" t="s">
        <v>412</v>
      </c>
      <c r="D216" s="4" t="s">
        <v>868</v>
      </c>
      <c r="E216" s="2">
        <v>270</v>
      </c>
      <c r="F216" s="2">
        <v>140</v>
      </c>
      <c r="G216" s="9">
        <v>0.48</v>
      </c>
      <c r="H216" s="4">
        <v>3.7</v>
      </c>
      <c r="I216" s="4" t="s">
        <v>18</v>
      </c>
      <c r="J216" s="4" t="s">
        <v>729</v>
      </c>
      <c r="K216" s="4" t="s">
        <v>737</v>
      </c>
      <c r="L216" s="4" t="s">
        <v>79</v>
      </c>
      <c r="M216" s="11" t="s">
        <v>949</v>
      </c>
      <c r="Q216" s="4" t="s">
        <v>177</v>
      </c>
      <c r="R216" t="str">
        <f t="shared" si="12"/>
        <v>Flower</v>
      </c>
      <c r="U216" t="s">
        <v>742</v>
      </c>
      <c r="V216" s="4">
        <v>215</v>
      </c>
      <c r="W216" s="4" t="s">
        <v>411</v>
      </c>
      <c r="X216" s="4" t="str">
        <f t="shared" si="13"/>
        <v>15</v>
      </c>
      <c r="Y216" s="4" t="str">
        <f t="shared" si="14"/>
        <v>215</v>
      </c>
      <c r="Z216" s="4" t="str">
        <f t="shared" si="15"/>
        <v>1754310190</v>
      </c>
    </row>
    <row r="217" spans="1:26" x14ac:dyDescent="0.3">
      <c r="A217" s="4">
        <v>1754310193</v>
      </c>
      <c r="B217" s="4">
        <v>216</v>
      </c>
      <c r="C217" s="4" t="s">
        <v>414</v>
      </c>
      <c r="D217" s="4" t="s">
        <v>869</v>
      </c>
      <c r="E217" s="2">
        <v>499</v>
      </c>
      <c r="F217" s="2">
        <v>137</v>
      </c>
      <c r="G217" s="9">
        <v>0.72</v>
      </c>
      <c r="H217" s="4">
        <v>3.5</v>
      </c>
      <c r="I217" s="4" t="s">
        <v>18</v>
      </c>
      <c r="J217" s="4" t="s">
        <v>723</v>
      </c>
      <c r="K217" s="4" t="s">
        <v>737</v>
      </c>
      <c r="L217" s="4" t="s">
        <v>29</v>
      </c>
      <c r="M217" s="11" t="s">
        <v>949</v>
      </c>
      <c r="Q217" s="4" t="s">
        <v>28</v>
      </c>
      <c r="R217" t="str">
        <f t="shared" si="12"/>
        <v>Herb</v>
      </c>
      <c r="U217" t="s">
        <v>742</v>
      </c>
      <c r="V217" s="4">
        <v>216</v>
      </c>
      <c r="W217" s="4" t="s">
        <v>413</v>
      </c>
      <c r="X217" s="4" t="str">
        <f t="shared" si="13"/>
        <v>16</v>
      </c>
      <c r="Y217" s="4" t="str">
        <f t="shared" si="14"/>
        <v>216</v>
      </c>
      <c r="Z217" s="4" t="str">
        <f t="shared" si="15"/>
        <v>1754310193</v>
      </c>
    </row>
    <row r="218" spans="1:26" x14ac:dyDescent="0.3">
      <c r="A218" s="4">
        <v>1754310195</v>
      </c>
      <c r="B218" s="4">
        <v>217</v>
      </c>
      <c r="C218" s="4" t="s">
        <v>416</v>
      </c>
      <c r="D218" s="4" t="s">
        <v>870</v>
      </c>
      <c r="E218" s="2">
        <v>595</v>
      </c>
      <c r="F218" s="2">
        <v>198</v>
      </c>
      <c r="G218" s="9">
        <v>0.66</v>
      </c>
      <c r="H218" s="4">
        <v>3.1</v>
      </c>
      <c r="I218" s="4" t="s">
        <v>18</v>
      </c>
      <c r="J218" s="4" t="s">
        <v>728</v>
      </c>
      <c r="K218" s="4" t="s">
        <v>737</v>
      </c>
      <c r="L218" s="4" t="s">
        <v>261</v>
      </c>
      <c r="M218" s="11" t="s">
        <v>949</v>
      </c>
      <c r="Q218" s="4" t="s">
        <v>68</v>
      </c>
      <c r="R218" t="str">
        <f t="shared" si="12"/>
        <v>Fruit</v>
      </c>
      <c r="U218" t="s">
        <v>744</v>
      </c>
      <c r="V218" s="4">
        <v>217</v>
      </c>
      <c r="W218" s="4" t="s">
        <v>415</v>
      </c>
      <c r="X218" s="4" t="str">
        <f t="shared" si="13"/>
        <v>17</v>
      </c>
      <c r="Y218" s="4" t="str">
        <f t="shared" si="14"/>
        <v>217</v>
      </c>
      <c r="Z218" s="4" t="str">
        <f t="shared" si="15"/>
        <v>1754310195</v>
      </c>
    </row>
    <row r="219" spans="1:26" x14ac:dyDescent="0.3">
      <c r="A219" s="4">
        <v>1754310198</v>
      </c>
      <c r="B219" s="4">
        <v>218</v>
      </c>
      <c r="C219" s="4" t="s">
        <v>418</v>
      </c>
      <c r="D219" s="4" t="s">
        <v>871</v>
      </c>
      <c r="E219" s="2">
        <v>999</v>
      </c>
      <c r="F219" s="2">
        <v>222</v>
      </c>
      <c r="G219" s="9">
        <v>0.77</v>
      </c>
      <c r="H219" s="4">
        <v>4.3</v>
      </c>
      <c r="I219" s="4" t="s">
        <v>13</v>
      </c>
      <c r="J219" s="4" t="s">
        <v>724</v>
      </c>
      <c r="K219" s="4" t="s">
        <v>737</v>
      </c>
      <c r="L219" s="4" t="s">
        <v>419</v>
      </c>
      <c r="M219" s="11" t="s">
        <v>949</v>
      </c>
      <c r="Q219" s="4" t="s">
        <v>41</v>
      </c>
      <c r="R219" t="str">
        <f t="shared" si="12"/>
        <v>Succulent</v>
      </c>
      <c r="U219" t="s">
        <v>746</v>
      </c>
      <c r="V219" s="4">
        <v>218</v>
      </c>
      <c r="W219" s="4" t="s">
        <v>417</v>
      </c>
      <c r="X219" s="4" t="str">
        <f t="shared" si="13"/>
        <v>18</v>
      </c>
      <c r="Y219" s="4" t="str">
        <f t="shared" si="14"/>
        <v>218</v>
      </c>
      <c r="Z219" s="4" t="str">
        <f t="shared" si="15"/>
        <v>1754310198</v>
      </c>
    </row>
    <row r="220" spans="1:26" x14ac:dyDescent="0.3">
      <c r="A220" s="4">
        <v>1754310200</v>
      </c>
      <c r="B220" s="4">
        <v>219</v>
      </c>
      <c r="C220" s="4" t="s">
        <v>25</v>
      </c>
      <c r="D220" s="4" t="s">
        <v>747</v>
      </c>
      <c r="E220" s="2">
        <v>449</v>
      </c>
      <c r="F220" s="2">
        <v>349</v>
      </c>
      <c r="G220" s="9">
        <v>0.22</v>
      </c>
      <c r="H220" s="4">
        <v>4.3</v>
      </c>
      <c r="I220" s="4" t="s">
        <v>18</v>
      </c>
      <c r="J220" s="4" t="s">
        <v>722</v>
      </c>
      <c r="K220" s="4" t="s">
        <v>733</v>
      </c>
      <c r="L220" s="4" t="s">
        <v>23</v>
      </c>
      <c r="M220" s="11" t="s">
        <v>949</v>
      </c>
      <c r="Q220" s="4" t="s">
        <v>22</v>
      </c>
      <c r="R220" t="str">
        <f t="shared" si="12"/>
        <v>Shrub</v>
      </c>
      <c r="U220" t="s">
        <v>746</v>
      </c>
      <c r="V220" s="4">
        <v>219</v>
      </c>
      <c r="W220" s="4" t="s">
        <v>420</v>
      </c>
      <c r="X220" s="4" t="str">
        <f t="shared" si="13"/>
        <v>19</v>
      </c>
      <c r="Y220" s="4" t="str">
        <f t="shared" si="14"/>
        <v>219</v>
      </c>
      <c r="Z220" s="4" t="str">
        <f t="shared" si="15"/>
        <v>1754310200</v>
      </c>
    </row>
    <row r="221" spans="1:26" x14ac:dyDescent="0.3">
      <c r="A221" s="4">
        <v>1754310203</v>
      </c>
      <c r="B221" s="4">
        <v>220</v>
      </c>
      <c r="C221" s="4" t="s">
        <v>25</v>
      </c>
      <c r="D221" s="4" t="s">
        <v>747</v>
      </c>
      <c r="E221" s="2">
        <v>449</v>
      </c>
      <c r="F221" s="2">
        <v>349</v>
      </c>
      <c r="G221" s="9">
        <v>0.22</v>
      </c>
      <c r="H221" s="4">
        <v>4.3</v>
      </c>
      <c r="I221" s="4" t="s">
        <v>18</v>
      </c>
      <c r="J221" s="4" t="s">
        <v>722</v>
      </c>
      <c r="K221" s="4" t="s">
        <v>733</v>
      </c>
      <c r="L221" s="4" t="s">
        <v>23</v>
      </c>
      <c r="M221" s="11" t="s">
        <v>949</v>
      </c>
      <c r="Q221" s="4" t="s">
        <v>22</v>
      </c>
      <c r="R221" t="str">
        <f t="shared" si="12"/>
        <v>Shrub</v>
      </c>
      <c r="U221" t="s">
        <v>746</v>
      </c>
      <c r="V221" s="4">
        <v>220</v>
      </c>
      <c r="W221" s="4" t="s">
        <v>421</v>
      </c>
      <c r="X221" s="4" t="str">
        <f t="shared" si="13"/>
        <v>20</v>
      </c>
      <c r="Y221" s="4" t="str">
        <f t="shared" si="14"/>
        <v>220</v>
      </c>
      <c r="Z221" s="4" t="str">
        <f t="shared" si="15"/>
        <v>1754310203</v>
      </c>
    </row>
    <row r="222" spans="1:26" x14ac:dyDescent="0.3">
      <c r="A222" s="4">
        <v>1754310205</v>
      </c>
      <c r="B222" s="4">
        <v>221</v>
      </c>
      <c r="C222" s="4" t="s">
        <v>423</v>
      </c>
      <c r="D222" s="4" t="s">
        <v>872</v>
      </c>
      <c r="E222" s="2">
        <v>999</v>
      </c>
      <c r="F222" s="2">
        <v>283</v>
      </c>
      <c r="G222" s="9">
        <v>0.71</v>
      </c>
      <c r="H222" s="4">
        <v>4</v>
      </c>
      <c r="I222" s="4" t="s">
        <v>18</v>
      </c>
      <c r="J222" s="4" t="s">
        <v>729</v>
      </c>
      <c r="K222" s="4" t="s">
        <v>737</v>
      </c>
      <c r="L222" s="4" t="s">
        <v>424</v>
      </c>
      <c r="M222" s="11" t="s">
        <v>949</v>
      </c>
      <c r="Q222" s="4" t="s">
        <v>177</v>
      </c>
      <c r="R222" t="str">
        <f t="shared" si="12"/>
        <v>Flower</v>
      </c>
      <c r="U222" t="s">
        <v>742</v>
      </c>
      <c r="V222" s="4">
        <v>221</v>
      </c>
      <c r="W222" s="4" t="s">
        <v>422</v>
      </c>
      <c r="X222" s="4" t="str">
        <f t="shared" si="13"/>
        <v>21</v>
      </c>
      <c r="Y222" s="4" t="str">
        <f t="shared" si="14"/>
        <v>221</v>
      </c>
      <c r="Z222" s="4" t="str">
        <f t="shared" si="15"/>
        <v>1754310205</v>
      </c>
    </row>
    <row r="223" spans="1:26" x14ac:dyDescent="0.3">
      <c r="A223" s="4">
        <v>1754310208</v>
      </c>
      <c r="B223" s="4">
        <v>222</v>
      </c>
      <c r="C223" s="4" t="s">
        <v>426</v>
      </c>
      <c r="D223" s="4" t="s">
        <v>873</v>
      </c>
      <c r="E223" s="2">
        <v>599</v>
      </c>
      <c r="F223" s="2">
        <v>179</v>
      </c>
      <c r="G223" s="9">
        <v>0.7</v>
      </c>
      <c r="H223" s="4">
        <v>3.9</v>
      </c>
      <c r="I223" s="4" t="s">
        <v>18</v>
      </c>
      <c r="J223" s="4" t="s">
        <v>728</v>
      </c>
      <c r="K223" s="4" t="s">
        <v>737</v>
      </c>
      <c r="L223" s="4" t="s">
        <v>169</v>
      </c>
      <c r="M223" s="11" t="s">
        <v>949</v>
      </c>
      <c r="Q223" s="4" t="s">
        <v>68</v>
      </c>
      <c r="R223" t="str">
        <f t="shared" si="12"/>
        <v>Fruit</v>
      </c>
      <c r="U223" t="s">
        <v>742</v>
      </c>
      <c r="V223" s="4">
        <v>222</v>
      </c>
      <c r="W223" s="4" t="s">
        <v>425</v>
      </c>
      <c r="X223" s="4" t="str">
        <f t="shared" si="13"/>
        <v>22</v>
      </c>
      <c r="Y223" s="4" t="str">
        <f t="shared" si="14"/>
        <v>222</v>
      </c>
      <c r="Z223" s="4" t="str">
        <f t="shared" si="15"/>
        <v>1754310208</v>
      </c>
    </row>
    <row r="224" spans="1:26" x14ac:dyDescent="0.3">
      <c r="A224" s="4">
        <v>1754310210</v>
      </c>
      <c r="B224" s="4">
        <v>223</v>
      </c>
      <c r="C224" s="4" t="s">
        <v>40</v>
      </c>
      <c r="D224" s="4" t="s">
        <v>752</v>
      </c>
      <c r="E224" s="2">
        <v>499</v>
      </c>
      <c r="F224" s="2">
        <v>424</v>
      </c>
      <c r="G224" s="9">
        <v>0.15</v>
      </c>
      <c r="H224" s="4">
        <v>4.3</v>
      </c>
      <c r="I224" s="4" t="s">
        <v>18</v>
      </c>
      <c r="J224" s="4" t="s">
        <v>724</v>
      </c>
      <c r="K224" s="4" t="s">
        <v>733</v>
      </c>
      <c r="L224" s="4" t="s">
        <v>23</v>
      </c>
      <c r="M224" s="11" t="s">
        <v>949</v>
      </c>
      <c r="Q224" s="4" t="s">
        <v>41</v>
      </c>
      <c r="R224" t="str">
        <f t="shared" si="12"/>
        <v>Succulent</v>
      </c>
      <c r="U224" t="s">
        <v>742</v>
      </c>
      <c r="V224" s="4">
        <v>223</v>
      </c>
      <c r="W224" s="4" t="s">
        <v>427</v>
      </c>
      <c r="X224" s="4" t="str">
        <f t="shared" si="13"/>
        <v>23</v>
      </c>
      <c r="Y224" s="4" t="str">
        <f t="shared" si="14"/>
        <v>223</v>
      </c>
      <c r="Z224" s="4" t="str">
        <f t="shared" si="15"/>
        <v>1754310210</v>
      </c>
    </row>
    <row r="225" spans="1:26" x14ac:dyDescent="0.3">
      <c r="A225" s="4">
        <v>1754310213</v>
      </c>
      <c r="B225" s="4">
        <v>224</v>
      </c>
      <c r="C225" s="4" t="s">
        <v>21</v>
      </c>
      <c r="D225" s="4" t="s">
        <v>745</v>
      </c>
      <c r="E225" s="2">
        <v>449</v>
      </c>
      <c r="F225" s="2">
        <v>359</v>
      </c>
      <c r="G225" s="9">
        <v>0.2</v>
      </c>
      <c r="H225" s="4">
        <v>4.4000000000000004</v>
      </c>
      <c r="I225" s="4" t="s">
        <v>18</v>
      </c>
      <c r="J225" s="4" t="s">
        <v>722</v>
      </c>
      <c r="K225" s="4" t="s">
        <v>733</v>
      </c>
      <c r="L225" s="4" t="s">
        <v>23</v>
      </c>
      <c r="M225" s="11" t="s">
        <v>949</v>
      </c>
      <c r="Q225" s="4" t="s">
        <v>22</v>
      </c>
      <c r="R225" t="str">
        <f t="shared" si="12"/>
        <v>Shrub</v>
      </c>
      <c r="U225" t="s">
        <v>746</v>
      </c>
      <c r="V225" s="4">
        <v>224</v>
      </c>
      <c r="W225" s="4" t="s">
        <v>428</v>
      </c>
      <c r="X225" s="4" t="str">
        <f t="shared" si="13"/>
        <v>24</v>
      </c>
      <c r="Y225" s="4" t="str">
        <f t="shared" si="14"/>
        <v>224</v>
      </c>
      <c r="Z225" s="4" t="str">
        <f t="shared" si="15"/>
        <v>1754310213</v>
      </c>
    </row>
    <row r="226" spans="1:26" x14ac:dyDescent="0.3">
      <c r="A226" s="4">
        <v>1754310215</v>
      </c>
      <c r="B226" s="4">
        <v>225</v>
      </c>
      <c r="C226" s="4" t="s">
        <v>430</v>
      </c>
      <c r="D226" s="4" t="s">
        <v>874</v>
      </c>
      <c r="E226" s="2">
        <v>499</v>
      </c>
      <c r="F226" s="2">
        <v>135</v>
      </c>
      <c r="G226" s="9">
        <v>0.72</v>
      </c>
      <c r="H226" s="4">
        <v>3.2</v>
      </c>
      <c r="I226" s="4" t="s">
        <v>18</v>
      </c>
      <c r="J226" s="4" t="s">
        <v>728</v>
      </c>
      <c r="K226" s="4" t="s">
        <v>737</v>
      </c>
      <c r="L226" s="4" t="s">
        <v>431</v>
      </c>
      <c r="M226" s="11" t="s">
        <v>949</v>
      </c>
      <c r="Q226" s="4" t="s">
        <v>68</v>
      </c>
      <c r="R226" t="str">
        <f t="shared" si="12"/>
        <v>Fruit</v>
      </c>
      <c r="U226" t="s">
        <v>742</v>
      </c>
      <c r="V226" s="4">
        <v>225</v>
      </c>
      <c r="W226" s="4" t="s">
        <v>429</v>
      </c>
      <c r="X226" s="4" t="str">
        <f t="shared" si="13"/>
        <v>25</v>
      </c>
      <c r="Y226" s="4" t="str">
        <f t="shared" si="14"/>
        <v>225</v>
      </c>
      <c r="Z226" s="4" t="str">
        <f t="shared" si="15"/>
        <v>1754310215</v>
      </c>
    </row>
    <row r="227" spans="1:26" x14ac:dyDescent="0.3">
      <c r="A227" s="4">
        <v>1754310219</v>
      </c>
      <c r="B227" s="4">
        <v>226</v>
      </c>
      <c r="C227" s="4" t="s">
        <v>433</v>
      </c>
      <c r="D227" s="4" t="s">
        <v>875</v>
      </c>
      <c r="E227" s="2">
        <v>699</v>
      </c>
      <c r="F227" s="2">
        <v>212</v>
      </c>
      <c r="G227" s="9">
        <v>0.69</v>
      </c>
      <c r="H227" s="4">
        <v>4</v>
      </c>
      <c r="I227" s="4" t="s">
        <v>13</v>
      </c>
      <c r="J227" s="4" t="s">
        <v>725</v>
      </c>
      <c r="K227" s="4" t="s">
        <v>737</v>
      </c>
      <c r="L227" s="4" t="s">
        <v>434</v>
      </c>
      <c r="M227" s="11" t="s">
        <v>949</v>
      </c>
      <c r="Q227" s="4" t="s">
        <v>47</v>
      </c>
      <c r="R227" t="str">
        <f t="shared" si="12"/>
        <v>Air purifier plant</v>
      </c>
      <c r="U227" t="s">
        <v>742</v>
      </c>
      <c r="V227" s="4">
        <v>226</v>
      </c>
      <c r="W227" s="4" t="s">
        <v>432</v>
      </c>
      <c r="X227" s="4" t="str">
        <f t="shared" si="13"/>
        <v>26</v>
      </c>
      <c r="Y227" s="4" t="str">
        <f t="shared" si="14"/>
        <v>226</v>
      </c>
      <c r="Z227" s="4" t="str">
        <f t="shared" si="15"/>
        <v>1754310219</v>
      </c>
    </row>
    <row r="228" spans="1:26" x14ac:dyDescent="0.3">
      <c r="A228" s="4">
        <v>1754310222</v>
      </c>
      <c r="B228" s="4">
        <v>227</v>
      </c>
      <c r="C228" s="4" t="s">
        <v>436</v>
      </c>
      <c r="D228" s="4" t="s">
        <v>876</v>
      </c>
      <c r="E228" s="2">
        <v>598</v>
      </c>
      <c r="F228" s="2">
        <v>147</v>
      </c>
      <c r="G228" s="9">
        <v>0.75</v>
      </c>
      <c r="H228" s="4">
        <v>3.6</v>
      </c>
      <c r="I228" s="4" t="s">
        <v>18</v>
      </c>
      <c r="J228" s="4" t="s">
        <v>728</v>
      </c>
      <c r="K228" s="4" t="s">
        <v>737</v>
      </c>
      <c r="L228" s="4" t="s">
        <v>29</v>
      </c>
      <c r="M228" s="11" t="s">
        <v>949</v>
      </c>
      <c r="Q228" s="4" t="s">
        <v>68</v>
      </c>
      <c r="R228" t="str">
        <f t="shared" si="12"/>
        <v>Fruit</v>
      </c>
      <c r="U228" t="s">
        <v>742</v>
      </c>
      <c r="V228" s="4">
        <v>227</v>
      </c>
      <c r="W228" s="4" t="s">
        <v>435</v>
      </c>
      <c r="X228" s="4" t="str">
        <f t="shared" si="13"/>
        <v>27</v>
      </c>
      <c r="Y228" s="4" t="str">
        <f t="shared" si="14"/>
        <v>227</v>
      </c>
      <c r="Z228" s="4" t="str">
        <f t="shared" si="15"/>
        <v>1754310222</v>
      </c>
    </row>
    <row r="229" spans="1:26" x14ac:dyDescent="0.3">
      <c r="A229" s="4">
        <v>1754310224</v>
      </c>
      <c r="B229" s="4">
        <v>228</v>
      </c>
      <c r="C229" s="4" t="s">
        <v>438</v>
      </c>
      <c r="D229" s="4" t="s">
        <v>877</v>
      </c>
      <c r="E229" s="2">
        <v>759</v>
      </c>
      <c r="F229" s="2">
        <v>120</v>
      </c>
      <c r="G229" s="9">
        <v>0.84</v>
      </c>
      <c r="H229" s="4">
        <v>3.5</v>
      </c>
      <c r="I229" s="4" t="s">
        <v>18</v>
      </c>
      <c r="J229" s="4" t="s">
        <v>728</v>
      </c>
      <c r="K229" s="4" t="s">
        <v>732</v>
      </c>
      <c r="L229" s="4" t="s">
        <v>439</v>
      </c>
      <c r="M229" s="11" t="s">
        <v>949</v>
      </c>
      <c r="Q229" s="4" t="s">
        <v>68</v>
      </c>
      <c r="R229" t="str">
        <f t="shared" si="12"/>
        <v>Fruit</v>
      </c>
      <c r="U229" t="s">
        <v>742</v>
      </c>
      <c r="V229" s="4">
        <v>228</v>
      </c>
      <c r="W229" s="4" t="s">
        <v>437</v>
      </c>
      <c r="X229" s="4" t="str">
        <f t="shared" si="13"/>
        <v>28</v>
      </c>
      <c r="Y229" s="4" t="str">
        <f t="shared" si="14"/>
        <v>228</v>
      </c>
      <c r="Z229" s="4" t="str">
        <f t="shared" si="15"/>
        <v>1754310224</v>
      </c>
    </row>
    <row r="230" spans="1:26" x14ac:dyDescent="0.3">
      <c r="A230" s="4">
        <v>1754310227</v>
      </c>
      <c r="B230" s="4">
        <v>229</v>
      </c>
      <c r="C230" s="4" t="s">
        <v>40</v>
      </c>
      <c r="D230" s="4" t="s">
        <v>752</v>
      </c>
      <c r="E230" s="2">
        <v>449</v>
      </c>
      <c r="F230" s="2">
        <v>335</v>
      </c>
      <c r="G230" s="9">
        <v>0.25</v>
      </c>
      <c r="H230" s="4">
        <v>4</v>
      </c>
      <c r="I230" s="4" t="s">
        <v>18</v>
      </c>
      <c r="J230" s="4" t="s">
        <v>724</v>
      </c>
      <c r="K230" s="4" t="s">
        <v>733</v>
      </c>
      <c r="L230" s="4" t="s">
        <v>23</v>
      </c>
      <c r="M230" s="11" t="s">
        <v>949</v>
      </c>
      <c r="Q230" s="4" t="s">
        <v>41</v>
      </c>
      <c r="R230" t="str">
        <f t="shared" si="12"/>
        <v>Succulent</v>
      </c>
      <c r="U230" t="s">
        <v>742</v>
      </c>
      <c r="V230" s="4">
        <v>229</v>
      </c>
      <c r="W230" s="4" t="s">
        <v>440</v>
      </c>
      <c r="X230" s="4" t="str">
        <f t="shared" si="13"/>
        <v>29</v>
      </c>
      <c r="Y230" s="4" t="str">
        <f t="shared" si="14"/>
        <v>229</v>
      </c>
      <c r="Z230" s="4" t="str">
        <f t="shared" si="15"/>
        <v>1754310227</v>
      </c>
    </row>
    <row r="231" spans="1:26" x14ac:dyDescent="0.3">
      <c r="A231" s="4">
        <v>1754310229</v>
      </c>
      <c r="B231" s="4">
        <v>230</v>
      </c>
      <c r="C231" s="4" t="s">
        <v>40</v>
      </c>
      <c r="D231" s="4" t="s">
        <v>752</v>
      </c>
      <c r="E231" s="2">
        <v>499</v>
      </c>
      <c r="F231" s="2">
        <v>426</v>
      </c>
      <c r="G231" s="9">
        <v>0.14000000000000001</v>
      </c>
      <c r="H231" s="4">
        <v>4.2</v>
      </c>
      <c r="I231" s="4" t="s">
        <v>18</v>
      </c>
      <c r="J231" s="4" t="s">
        <v>724</v>
      </c>
      <c r="K231" s="4" t="s">
        <v>733</v>
      </c>
      <c r="L231" s="4" t="s">
        <v>23</v>
      </c>
      <c r="M231" s="11" t="s">
        <v>949</v>
      </c>
      <c r="Q231" s="4" t="s">
        <v>41</v>
      </c>
      <c r="R231" t="str">
        <f t="shared" si="12"/>
        <v>Succulent</v>
      </c>
      <c r="U231" t="s">
        <v>742</v>
      </c>
      <c r="V231" s="4">
        <v>230</v>
      </c>
      <c r="W231" s="4" t="s">
        <v>441</v>
      </c>
      <c r="X231" s="4" t="str">
        <f t="shared" si="13"/>
        <v>30</v>
      </c>
      <c r="Y231" s="4" t="str">
        <f t="shared" si="14"/>
        <v>230</v>
      </c>
      <c r="Z231" s="4" t="str">
        <f t="shared" si="15"/>
        <v>1754310229</v>
      </c>
    </row>
    <row r="232" spans="1:26" x14ac:dyDescent="0.3">
      <c r="A232" s="4">
        <v>1754310232</v>
      </c>
      <c r="B232" s="4">
        <v>231</v>
      </c>
      <c r="C232" s="4" t="s">
        <v>443</v>
      </c>
      <c r="D232" s="4" t="s">
        <v>878</v>
      </c>
      <c r="E232" s="2">
        <v>490</v>
      </c>
      <c r="F232" s="2">
        <v>142</v>
      </c>
      <c r="G232" s="9">
        <v>0.71</v>
      </c>
      <c r="H232" s="4">
        <v>3.8</v>
      </c>
      <c r="I232" s="4" t="s">
        <v>18</v>
      </c>
      <c r="J232" s="4" t="s">
        <v>726</v>
      </c>
      <c r="K232" s="4" t="s">
        <v>737</v>
      </c>
      <c r="L232" s="4" t="s">
        <v>444</v>
      </c>
      <c r="M232" s="11" t="s">
        <v>949</v>
      </c>
      <c r="Q232" s="4" t="s">
        <v>51</v>
      </c>
      <c r="R232" t="str">
        <f t="shared" si="12"/>
        <v>Foliage</v>
      </c>
      <c r="U232" t="s">
        <v>746</v>
      </c>
      <c r="V232" s="4">
        <v>231</v>
      </c>
      <c r="W232" s="4" t="s">
        <v>442</v>
      </c>
      <c r="X232" s="4" t="str">
        <f t="shared" si="13"/>
        <v>31</v>
      </c>
      <c r="Y232" s="4" t="str">
        <f t="shared" si="14"/>
        <v>231</v>
      </c>
      <c r="Z232" s="4" t="str">
        <f t="shared" si="15"/>
        <v>1754310232</v>
      </c>
    </row>
    <row r="233" spans="1:26" x14ac:dyDescent="0.3">
      <c r="A233" s="4">
        <v>1754310234</v>
      </c>
      <c r="B233" s="4">
        <v>232</v>
      </c>
      <c r="C233" s="4" t="s">
        <v>446</v>
      </c>
      <c r="D233" s="4" t="s">
        <v>879</v>
      </c>
      <c r="E233" s="2">
        <v>399</v>
      </c>
      <c r="F233" s="2">
        <v>195</v>
      </c>
      <c r="G233" s="9">
        <v>0.51</v>
      </c>
      <c r="H233" s="4">
        <v>4</v>
      </c>
      <c r="I233" s="4" t="s">
        <v>18</v>
      </c>
      <c r="J233" s="4" t="s">
        <v>728</v>
      </c>
      <c r="K233" s="4" t="s">
        <v>737</v>
      </c>
      <c r="L233" s="4" t="s">
        <v>424</v>
      </c>
      <c r="M233" s="11" t="s">
        <v>949</v>
      </c>
      <c r="Q233" s="4" t="s">
        <v>68</v>
      </c>
      <c r="R233" t="str">
        <f t="shared" si="12"/>
        <v>Fruit</v>
      </c>
      <c r="U233" t="s">
        <v>742</v>
      </c>
      <c r="V233" s="4">
        <v>232</v>
      </c>
      <c r="W233" s="4" t="s">
        <v>445</v>
      </c>
      <c r="X233" s="4" t="str">
        <f t="shared" si="13"/>
        <v>32</v>
      </c>
      <c r="Y233" s="4" t="str">
        <f t="shared" si="14"/>
        <v>232</v>
      </c>
      <c r="Z233" s="4" t="str">
        <f t="shared" si="15"/>
        <v>1754310234</v>
      </c>
    </row>
    <row r="234" spans="1:26" x14ac:dyDescent="0.3">
      <c r="A234" s="4">
        <v>1754310237</v>
      </c>
      <c r="B234" s="4">
        <v>233</v>
      </c>
      <c r="C234" s="4" t="s">
        <v>40</v>
      </c>
      <c r="D234" s="4" t="s">
        <v>752</v>
      </c>
      <c r="E234" s="2">
        <v>499</v>
      </c>
      <c r="F234" s="2">
        <v>335</v>
      </c>
      <c r="G234" s="9">
        <v>0.32</v>
      </c>
      <c r="H234" s="4">
        <v>4</v>
      </c>
      <c r="I234" s="4" t="s">
        <v>18</v>
      </c>
      <c r="J234" s="4" t="s">
        <v>724</v>
      </c>
      <c r="K234" s="4" t="s">
        <v>733</v>
      </c>
      <c r="L234" s="4" t="s">
        <v>23</v>
      </c>
      <c r="M234" s="11" t="s">
        <v>949</v>
      </c>
      <c r="Q234" s="4" t="s">
        <v>41</v>
      </c>
      <c r="R234" t="str">
        <f t="shared" si="12"/>
        <v>Succulent</v>
      </c>
      <c r="U234" t="s">
        <v>742</v>
      </c>
      <c r="V234" s="4">
        <v>233</v>
      </c>
      <c r="W234" s="4" t="s">
        <v>447</v>
      </c>
      <c r="X234" s="4" t="str">
        <f t="shared" si="13"/>
        <v>33</v>
      </c>
      <c r="Y234" s="4" t="str">
        <f t="shared" si="14"/>
        <v>233</v>
      </c>
      <c r="Z234" s="4" t="str">
        <f t="shared" si="15"/>
        <v>1754310237</v>
      </c>
    </row>
    <row r="235" spans="1:26" x14ac:dyDescent="0.3">
      <c r="A235" s="4">
        <v>1754310239</v>
      </c>
      <c r="B235" s="4">
        <v>234</v>
      </c>
      <c r="C235" s="4" t="s">
        <v>21</v>
      </c>
      <c r="D235" s="4" t="s">
        <v>745</v>
      </c>
      <c r="E235" s="2">
        <v>445</v>
      </c>
      <c r="F235" s="2">
        <v>335</v>
      </c>
      <c r="G235" s="9">
        <v>0.24</v>
      </c>
      <c r="H235" s="4">
        <v>4.4000000000000004</v>
      </c>
      <c r="I235" s="4" t="s">
        <v>18</v>
      </c>
      <c r="J235" s="4" t="s">
        <v>722</v>
      </c>
      <c r="K235" s="4" t="s">
        <v>733</v>
      </c>
      <c r="L235" s="4" t="s">
        <v>23</v>
      </c>
      <c r="M235" s="11" t="s">
        <v>949</v>
      </c>
      <c r="Q235" s="4" t="s">
        <v>22</v>
      </c>
      <c r="R235" t="str">
        <f t="shared" si="12"/>
        <v>Shrub</v>
      </c>
      <c r="U235" t="s">
        <v>746</v>
      </c>
      <c r="V235" s="4">
        <v>234</v>
      </c>
      <c r="W235" s="4" t="s">
        <v>448</v>
      </c>
      <c r="X235" s="4" t="str">
        <f t="shared" si="13"/>
        <v>34</v>
      </c>
      <c r="Y235" s="4" t="str">
        <f t="shared" si="14"/>
        <v>234</v>
      </c>
      <c r="Z235" s="4" t="str">
        <f t="shared" si="15"/>
        <v>1754310239</v>
      </c>
    </row>
    <row r="236" spans="1:26" x14ac:dyDescent="0.3">
      <c r="A236" s="4">
        <v>1754310242</v>
      </c>
      <c r="B236" s="4">
        <v>235</v>
      </c>
      <c r="C236" s="4" t="s">
        <v>450</v>
      </c>
      <c r="D236" s="4" t="s">
        <v>880</v>
      </c>
      <c r="E236" s="2">
        <v>499</v>
      </c>
      <c r="F236" s="2">
        <v>172</v>
      </c>
      <c r="G236" s="9">
        <v>0.65</v>
      </c>
      <c r="H236" s="4">
        <v>4</v>
      </c>
      <c r="I236" s="4" t="s">
        <v>13</v>
      </c>
      <c r="J236" s="4" t="s">
        <v>730</v>
      </c>
      <c r="K236" s="4" t="s">
        <v>732</v>
      </c>
      <c r="L236" s="4" t="s">
        <v>172</v>
      </c>
      <c r="M236" s="11" t="s">
        <v>949</v>
      </c>
      <c r="Q236" s="4" t="s">
        <v>180</v>
      </c>
      <c r="R236" t="str">
        <f t="shared" si="12"/>
        <v>Tree</v>
      </c>
      <c r="U236" t="s">
        <v>839</v>
      </c>
      <c r="V236" s="4">
        <v>235</v>
      </c>
      <c r="W236" s="4" t="s">
        <v>449</v>
      </c>
      <c r="X236" s="4" t="str">
        <f t="shared" si="13"/>
        <v>35</v>
      </c>
      <c r="Y236" s="4" t="str">
        <f t="shared" si="14"/>
        <v>235</v>
      </c>
      <c r="Z236" s="4" t="str">
        <f t="shared" si="15"/>
        <v>1754310242</v>
      </c>
    </row>
    <row r="237" spans="1:26" x14ac:dyDescent="0.3">
      <c r="A237" s="4">
        <v>1754310244</v>
      </c>
      <c r="B237" s="4">
        <v>236</v>
      </c>
      <c r="C237" s="4" t="s">
        <v>252</v>
      </c>
      <c r="D237" s="4" t="s">
        <v>811</v>
      </c>
      <c r="E237" s="2">
        <v>499</v>
      </c>
      <c r="F237" s="2">
        <v>135</v>
      </c>
      <c r="G237" s="9">
        <v>0.72</v>
      </c>
      <c r="H237" s="4">
        <v>3.4</v>
      </c>
      <c r="I237" s="4" t="s">
        <v>13</v>
      </c>
      <c r="J237" s="4" t="s">
        <v>728</v>
      </c>
      <c r="K237" s="4" t="s">
        <v>732</v>
      </c>
      <c r="L237" s="4" t="s">
        <v>274</v>
      </c>
      <c r="M237" s="11" t="s">
        <v>949</v>
      </c>
      <c r="Q237" s="4" t="s">
        <v>68</v>
      </c>
      <c r="R237" t="str">
        <f t="shared" si="12"/>
        <v>Fruit</v>
      </c>
      <c r="U237" t="s">
        <v>742</v>
      </c>
      <c r="V237" s="4">
        <v>236</v>
      </c>
      <c r="W237" s="4" t="s">
        <v>451</v>
      </c>
      <c r="X237" s="4" t="str">
        <f t="shared" si="13"/>
        <v>36</v>
      </c>
      <c r="Y237" s="4" t="str">
        <f t="shared" si="14"/>
        <v>236</v>
      </c>
      <c r="Z237" s="4" t="str">
        <f t="shared" si="15"/>
        <v>1754310244</v>
      </c>
    </row>
    <row r="238" spans="1:26" x14ac:dyDescent="0.3">
      <c r="A238" s="4">
        <v>1754310247</v>
      </c>
      <c r="B238" s="4">
        <v>237</v>
      </c>
      <c r="C238" s="4" t="s">
        <v>453</v>
      </c>
      <c r="D238" s="4" t="s">
        <v>881</v>
      </c>
      <c r="E238" s="2">
        <v>499</v>
      </c>
      <c r="F238" s="2">
        <v>283</v>
      </c>
      <c r="G238" s="9">
        <v>0.43</v>
      </c>
      <c r="H238" s="4">
        <v>4.3</v>
      </c>
      <c r="I238" s="4" t="s">
        <v>18</v>
      </c>
      <c r="J238" s="4" t="s">
        <v>722</v>
      </c>
      <c r="K238" s="4" t="s">
        <v>733</v>
      </c>
      <c r="L238" s="4" t="s">
        <v>23</v>
      </c>
      <c r="M238" s="11" t="s">
        <v>949</v>
      </c>
      <c r="Q238" s="4" t="s">
        <v>22</v>
      </c>
      <c r="R238" t="str">
        <f t="shared" si="12"/>
        <v>Shrub</v>
      </c>
      <c r="U238" t="s">
        <v>746</v>
      </c>
      <c r="V238" s="4">
        <v>237</v>
      </c>
      <c r="W238" s="4" t="s">
        <v>452</v>
      </c>
      <c r="X238" s="4" t="str">
        <f t="shared" si="13"/>
        <v>37</v>
      </c>
      <c r="Y238" s="4" t="str">
        <f t="shared" si="14"/>
        <v>237</v>
      </c>
      <c r="Z238" s="4" t="str">
        <f t="shared" si="15"/>
        <v>1754310247</v>
      </c>
    </row>
    <row r="239" spans="1:26" x14ac:dyDescent="0.3">
      <c r="A239" s="4">
        <v>1754310251</v>
      </c>
      <c r="B239" s="4">
        <v>238</v>
      </c>
      <c r="C239" s="4" t="s">
        <v>455</v>
      </c>
      <c r="D239" s="4" t="s">
        <v>882</v>
      </c>
      <c r="E239" s="2">
        <v>499</v>
      </c>
      <c r="F239" s="2">
        <v>161</v>
      </c>
      <c r="G239" s="9">
        <v>0.67</v>
      </c>
      <c r="H239" s="4">
        <v>3.1</v>
      </c>
      <c r="I239" s="4" t="s">
        <v>18</v>
      </c>
      <c r="J239" s="4" t="s">
        <v>723</v>
      </c>
      <c r="K239" s="4" t="s">
        <v>737</v>
      </c>
      <c r="L239" s="4" t="s">
        <v>111</v>
      </c>
      <c r="M239" s="11" t="s">
        <v>949</v>
      </c>
      <c r="Q239" s="4" t="s">
        <v>28</v>
      </c>
      <c r="R239" t="str">
        <f t="shared" si="12"/>
        <v>Herb</v>
      </c>
      <c r="U239" t="s">
        <v>742</v>
      </c>
      <c r="V239" s="4">
        <v>238</v>
      </c>
      <c r="W239" s="4" t="s">
        <v>454</v>
      </c>
      <c r="X239" s="4" t="str">
        <f t="shared" si="13"/>
        <v>38</v>
      </c>
      <c r="Y239" s="4" t="str">
        <f t="shared" si="14"/>
        <v>238</v>
      </c>
      <c r="Z239" s="4" t="str">
        <f t="shared" si="15"/>
        <v>1754310251</v>
      </c>
    </row>
    <row r="240" spans="1:26" x14ac:dyDescent="0.3">
      <c r="A240" s="4">
        <v>1754310253</v>
      </c>
      <c r="B240" s="4">
        <v>239</v>
      </c>
      <c r="C240" s="4" t="s">
        <v>40</v>
      </c>
      <c r="D240" s="4" t="s">
        <v>752</v>
      </c>
      <c r="E240" s="2">
        <v>495</v>
      </c>
      <c r="F240" s="2">
        <v>331</v>
      </c>
      <c r="G240" s="9">
        <v>0.33</v>
      </c>
      <c r="H240" s="4">
        <v>4.0999999999999996</v>
      </c>
      <c r="I240" s="4" t="s">
        <v>18</v>
      </c>
      <c r="J240" s="4" t="s">
        <v>724</v>
      </c>
      <c r="K240" s="4" t="s">
        <v>733</v>
      </c>
      <c r="L240" s="4" t="s">
        <v>23</v>
      </c>
      <c r="M240" s="11" t="s">
        <v>949</v>
      </c>
      <c r="Q240" s="4" t="s">
        <v>41</v>
      </c>
      <c r="R240" t="str">
        <f t="shared" si="12"/>
        <v>Succulent</v>
      </c>
      <c r="U240" t="s">
        <v>742</v>
      </c>
      <c r="V240" s="4">
        <v>239</v>
      </c>
      <c r="W240" s="4" t="s">
        <v>456</v>
      </c>
      <c r="X240" s="4" t="str">
        <f t="shared" si="13"/>
        <v>39</v>
      </c>
      <c r="Y240" s="4" t="str">
        <f t="shared" si="14"/>
        <v>239</v>
      </c>
      <c r="Z240" s="4" t="str">
        <f t="shared" si="15"/>
        <v>1754310253</v>
      </c>
    </row>
    <row r="241" spans="1:26" x14ac:dyDescent="0.3">
      <c r="A241" s="4">
        <v>1754310256</v>
      </c>
      <c r="B241" s="4">
        <v>240</v>
      </c>
      <c r="C241" s="4" t="s">
        <v>40</v>
      </c>
      <c r="D241" s="4" t="s">
        <v>752</v>
      </c>
      <c r="E241" s="2">
        <v>349</v>
      </c>
      <c r="F241" s="2">
        <v>325</v>
      </c>
      <c r="G241" s="9">
        <v>0.06</v>
      </c>
      <c r="H241" s="4">
        <v>4</v>
      </c>
      <c r="I241" s="4" t="s">
        <v>18</v>
      </c>
      <c r="J241" s="4" t="s">
        <v>724</v>
      </c>
      <c r="K241" s="4" t="s">
        <v>733</v>
      </c>
      <c r="L241" s="4" t="s">
        <v>23</v>
      </c>
      <c r="M241" s="11" t="s">
        <v>949</v>
      </c>
      <c r="Q241" s="4" t="s">
        <v>41</v>
      </c>
      <c r="R241" t="str">
        <f t="shared" si="12"/>
        <v>Succulent</v>
      </c>
      <c r="U241" t="s">
        <v>746</v>
      </c>
      <c r="V241" s="4">
        <v>240</v>
      </c>
      <c r="W241" s="4" t="s">
        <v>457</v>
      </c>
      <c r="X241" s="4" t="str">
        <f t="shared" si="13"/>
        <v>40</v>
      </c>
      <c r="Y241" s="4" t="str">
        <f t="shared" si="14"/>
        <v>240</v>
      </c>
      <c r="Z241" s="4" t="str">
        <f t="shared" si="15"/>
        <v>1754310256</v>
      </c>
    </row>
    <row r="242" spans="1:26" x14ac:dyDescent="0.3">
      <c r="A242" s="4">
        <v>1754310261</v>
      </c>
      <c r="B242" s="4">
        <v>241</v>
      </c>
      <c r="C242" s="4" t="s">
        <v>59</v>
      </c>
      <c r="D242" s="4" t="s">
        <v>757</v>
      </c>
      <c r="E242" s="2">
        <v>499</v>
      </c>
      <c r="F242" s="2">
        <v>212</v>
      </c>
      <c r="G242" s="9">
        <v>0.56999999999999995</v>
      </c>
      <c r="H242" s="4">
        <v>4</v>
      </c>
      <c r="I242" s="4" t="s">
        <v>13</v>
      </c>
      <c r="J242" s="4" t="s">
        <v>723</v>
      </c>
      <c r="K242" s="4" t="s">
        <v>732</v>
      </c>
      <c r="L242" s="4" t="s">
        <v>121</v>
      </c>
      <c r="M242" s="11" t="s">
        <v>949</v>
      </c>
      <c r="Q242" s="4" t="s">
        <v>28</v>
      </c>
      <c r="R242" t="str">
        <f t="shared" si="12"/>
        <v>Herb</v>
      </c>
      <c r="U242" t="s">
        <v>883</v>
      </c>
      <c r="V242" s="4">
        <v>241</v>
      </c>
      <c r="W242" s="4" t="s">
        <v>458</v>
      </c>
      <c r="X242" s="4" t="str">
        <f t="shared" si="13"/>
        <v>41</v>
      </c>
      <c r="Y242" s="4" t="str">
        <f t="shared" si="14"/>
        <v>241</v>
      </c>
      <c r="Z242" s="4" t="str">
        <f t="shared" si="15"/>
        <v>1754310261</v>
      </c>
    </row>
    <row r="243" spans="1:26" x14ac:dyDescent="0.3">
      <c r="A243" s="4">
        <v>1754310263</v>
      </c>
      <c r="B243" s="4">
        <v>242</v>
      </c>
      <c r="C243" s="4" t="s">
        <v>46</v>
      </c>
      <c r="D243" s="4" t="s">
        <v>754</v>
      </c>
      <c r="E243" s="2">
        <v>1300</v>
      </c>
      <c r="F243" s="2">
        <v>169</v>
      </c>
      <c r="G243" s="9">
        <v>0.87</v>
      </c>
      <c r="H243" s="4">
        <v>4</v>
      </c>
      <c r="I243" s="4" t="s">
        <v>18</v>
      </c>
      <c r="J243" s="4" t="s">
        <v>725</v>
      </c>
      <c r="K243" s="4" t="s">
        <v>737</v>
      </c>
      <c r="L243" s="4" t="s">
        <v>76</v>
      </c>
      <c r="M243" s="11" t="s">
        <v>949</v>
      </c>
      <c r="Q243" s="4" t="s">
        <v>47</v>
      </c>
      <c r="R243" t="str">
        <f t="shared" si="12"/>
        <v>Air purifier plant</v>
      </c>
      <c r="U243" t="s">
        <v>742</v>
      </c>
      <c r="V243" s="4">
        <v>242</v>
      </c>
      <c r="W243" s="4" t="s">
        <v>459</v>
      </c>
      <c r="X243" s="4" t="str">
        <f t="shared" si="13"/>
        <v>42</v>
      </c>
      <c r="Y243" s="4" t="str">
        <f t="shared" si="14"/>
        <v>242</v>
      </c>
      <c r="Z243" s="4" t="str">
        <f t="shared" si="15"/>
        <v>1754310263</v>
      </c>
    </row>
    <row r="244" spans="1:26" x14ac:dyDescent="0.3">
      <c r="A244" s="4">
        <v>1754310266</v>
      </c>
      <c r="B244" s="4">
        <v>243</v>
      </c>
      <c r="C244" s="4" t="s">
        <v>74</v>
      </c>
      <c r="D244" s="4" t="s">
        <v>761</v>
      </c>
      <c r="E244" s="2">
        <v>599</v>
      </c>
      <c r="F244" s="2">
        <v>134</v>
      </c>
      <c r="G244" s="9">
        <v>0.77</v>
      </c>
      <c r="H244" s="4">
        <v>3.5</v>
      </c>
      <c r="I244" s="4" t="s">
        <v>18</v>
      </c>
      <c r="J244" s="4" t="s">
        <v>723</v>
      </c>
      <c r="K244" s="4" t="s">
        <v>732</v>
      </c>
      <c r="L244" s="4" t="s">
        <v>29</v>
      </c>
      <c r="M244" s="11" t="s">
        <v>949</v>
      </c>
      <c r="Q244" s="4" t="s">
        <v>28</v>
      </c>
      <c r="R244" t="str">
        <f t="shared" si="12"/>
        <v>Herb</v>
      </c>
      <c r="U244" t="s">
        <v>742</v>
      </c>
      <c r="V244" s="4">
        <v>243</v>
      </c>
      <c r="W244" s="4" t="s">
        <v>460</v>
      </c>
      <c r="X244" s="4" t="str">
        <f t="shared" si="13"/>
        <v>43</v>
      </c>
      <c r="Y244" s="4" t="str">
        <f t="shared" si="14"/>
        <v>243</v>
      </c>
      <c r="Z244" s="4" t="str">
        <f t="shared" si="15"/>
        <v>1754310266</v>
      </c>
    </row>
    <row r="245" spans="1:26" x14ac:dyDescent="0.3">
      <c r="A245" s="4">
        <v>1754310268</v>
      </c>
      <c r="B245" s="4">
        <v>244</v>
      </c>
      <c r="C245" s="4" t="s">
        <v>25</v>
      </c>
      <c r="D245" s="4" t="s">
        <v>747</v>
      </c>
      <c r="E245" s="2">
        <v>449</v>
      </c>
      <c r="F245" s="2">
        <v>349</v>
      </c>
      <c r="G245" s="9">
        <v>0.22</v>
      </c>
      <c r="H245" s="4">
        <v>4.3</v>
      </c>
      <c r="I245" s="4" t="s">
        <v>18</v>
      </c>
      <c r="J245" s="4" t="s">
        <v>722</v>
      </c>
      <c r="K245" s="4" t="s">
        <v>733</v>
      </c>
      <c r="L245" s="4" t="s">
        <v>23</v>
      </c>
      <c r="M245" s="11" t="s">
        <v>949</v>
      </c>
      <c r="Q245" s="4" t="s">
        <v>22</v>
      </c>
      <c r="R245" t="str">
        <f t="shared" si="12"/>
        <v>Shrub</v>
      </c>
      <c r="U245" t="s">
        <v>746</v>
      </c>
      <c r="V245" s="4">
        <v>244</v>
      </c>
      <c r="W245" s="4" t="s">
        <v>461</v>
      </c>
      <c r="X245" s="4" t="str">
        <f t="shared" si="13"/>
        <v>44</v>
      </c>
      <c r="Y245" s="4" t="str">
        <f t="shared" si="14"/>
        <v>244</v>
      </c>
      <c r="Z245" s="4" t="str">
        <f t="shared" si="15"/>
        <v>1754310268</v>
      </c>
    </row>
    <row r="246" spans="1:26" x14ac:dyDescent="0.3">
      <c r="A246" s="4">
        <v>1754310271</v>
      </c>
      <c r="B246" s="4">
        <v>245</v>
      </c>
      <c r="C246" s="4" t="s">
        <v>463</v>
      </c>
      <c r="D246" s="4" t="s">
        <v>884</v>
      </c>
      <c r="E246" s="2">
        <v>199</v>
      </c>
      <c r="F246" s="2">
        <v>147</v>
      </c>
      <c r="G246" s="9">
        <v>0.26</v>
      </c>
      <c r="H246" s="4">
        <v>4</v>
      </c>
      <c r="I246" s="4" t="s">
        <v>18</v>
      </c>
      <c r="J246" s="4" t="s">
        <v>728</v>
      </c>
      <c r="K246" s="4" t="s">
        <v>732</v>
      </c>
      <c r="L246" s="4" t="s">
        <v>121</v>
      </c>
      <c r="M246" s="11" t="s">
        <v>949</v>
      </c>
      <c r="Q246" s="4" t="s">
        <v>68</v>
      </c>
      <c r="R246" t="str">
        <f t="shared" si="12"/>
        <v>Fruit</v>
      </c>
      <c r="U246" t="s">
        <v>742</v>
      </c>
      <c r="V246" s="4">
        <v>245</v>
      </c>
      <c r="W246" s="4" t="s">
        <v>462</v>
      </c>
      <c r="X246" s="4" t="str">
        <f t="shared" si="13"/>
        <v>45</v>
      </c>
      <c r="Y246" s="4" t="str">
        <f t="shared" si="14"/>
        <v>245</v>
      </c>
      <c r="Z246" s="4" t="str">
        <f t="shared" si="15"/>
        <v>1754310271</v>
      </c>
    </row>
    <row r="247" spans="1:26" x14ac:dyDescent="0.3">
      <c r="A247" s="4">
        <v>1754310274</v>
      </c>
      <c r="B247" s="4">
        <v>246</v>
      </c>
      <c r="C247" s="4" t="s">
        <v>162</v>
      </c>
      <c r="D247" s="4" t="s">
        <v>784</v>
      </c>
      <c r="E247" s="2">
        <v>399</v>
      </c>
      <c r="F247" s="2">
        <v>157</v>
      </c>
      <c r="G247" s="9">
        <v>0.6</v>
      </c>
      <c r="H247" s="4">
        <v>1.5</v>
      </c>
      <c r="I247" s="4" t="s">
        <v>18</v>
      </c>
      <c r="J247" s="4" t="s">
        <v>722</v>
      </c>
      <c r="K247" s="4" t="s">
        <v>737</v>
      </c>
      <c r="L247" s="4" t="s">
        <v>465</v>
      </c>
      <c r="M247" s="11" t="s">
        <v>949</v>
      </c>
      <c r="Q247" s="4" t="s">
        <v>22</v>
      </c>
      <c r="R247" t="str">
        <f t="shared" si="12"/>
        <v>Shrub</v>
      </c>
      <c r="U247" t="s">
        <v>746</v>
      </c>
      <c r="V247" s="4">
        <v>246</v>
      </c>
      <c r="W247" s="4" t="s">
        <v>464</v>
      </c>
      <c r="X247" s="4" t="str">
        <f t="shared" si="13"/>
        <v>46</v>
      </c>
      <c r="Y247" s="4" t="str">
        <f t="shared" si="14"/>
        <v>246</v>
      </c>
      <c r="Z247" s="4" t="str">
        <f t="shared" si="15"/>
        <v>1754310274</v>
      </c>
    </row>
    <row r="248" spans="1:26" x14ac:dyDescent="0.3">
      <c r="A248" s="4">
        <v>1754310276</v>
      </c>
      <c r="B248" s="4">
        <v>247</v>
      </c>
      <c r="C248" s="4" t="s">
        <v>162</v>
      </c>
      <c r="D248" s="4" t="s">
        <v>784</v>
      </c>
      <c r="E248" s="2">
        <v>300</v>
      </c>
      <c r="F248" s="2">
        <v>149</v>
      </c>
      <c r="G248" s="9">
        <v>0.5</v>
      </c>
      <c r="H248" s="4">
        <v>1.8</v>
      </c>
      <c r="I248" s="4" t="s">
        <v>13</v>
      </c>
      <c r="J248" s="4" t="s">
        <v>727</v>
      </c>
      <c r="K248" s="4" t="s">
        <v>737</v>
      </c>
      <c r="L248" s="4" t="s">
        <v>163</v>
      </c>
      <c r="M248" s="11" t="s">
        <v>949</v>
      </c>
      <c r="Q248" s="4" t="s">
        <v>56</v>
      </c>
      <c r="R248" t="str">
        <f t="shared" si="12"/>
        <v>Bamboo</v>
      </c>
      <c r="U248" t="s">
        <v>746</v>
      </c>
      <c r="V248" s="4">
        <v>247</v>
      </c>
      <c r="W248" s="4" t="s">
        <v>466</v>
      </c>
      <c r="X248" s="4" t="str">
        <f t="shared" si="13"/>
        <v>47</v>
      </c>
      <c r="Y248" s="4" t="str">
        <f t="shared" si="14"/>
        <v>247</v>
      </c>
      <c r="Z248" s="4" t="str">
        <f t="shared" si="15"/>
        <v>1754310276</v>
      </c>
    </row>
    <row r="249" spans="1:26" x14ac:dyDescent="0.3">
      <c r="A249" s="4">
        <v>1754310278</v>
      </c>
      <c r="B249" s="4">
        <v>248</v>
      </c>
      <c r="C249" s="4" t="s">
        <v>59</v>
      </c>
      <c r="D249" s="4" t="s">
        <v>757</v>
      </c>
      <c r="E249" s="2">
        <v>399</v>
      </c>
      <c r="F249" s="2">
        <v>290</v>
      </c>
      <c r="G249" s="9">
        <v>0.27</v>
      </c>
      <c r="H249" s="4">
        <v>4</v>
      </c>
      <c r="I249" s="4" t="s">
        <v>13</v>
      </c>
      <c r="J249" s="4" t="s">
        <v>723</v>
      </c>
      <c r="K249" s="4" t="s">
        <v>732</v>
      </c>
      <c r="L249" s="4" t="s">
        <v>121</v>
      </c>
      <c r="M249" s="11" t="s">
        <v>949</v>
      </c>
      <c r="Q249" s="4" t="s">
        <v>28</v>
      </c>
      <c r="R249" t="str">
        <f t="shared" si="12"/>
        <v>Herb</v>
      </c>
      <c r="U249" t="s">
        <v>883</v>
      </c>
      <c r="V249" s="4">
        <v>248</v>
      </c>
      <c r="W249" s="4" t="s">
        <v>467</v>
      </c>
      <c r="X249" s="4" t="str">
        <f t="shared" si="13"/>
        <v>48</v>
      </c>
      <c r="Y249" s="4" t="str">
        <f t="shared" si="14"/>
        <v>248</v>
      </c>
      <c r="Z249" s="4" t="str">
        <f t="shared" si="15"/>
        <v>1754310278</v>
      </c>
    </row>
    <row r="250" spans="1:26" x14ac:dyDescent="0.3">
      <c r="A250" s="4">
        <v>1754310282</v>
      </c>
      <c r="B250" s="4">
        <v>249</v>
      </c>
      <c r="C250" s="4" t="s">
        <v>21</v>
      </c>
      <c r="D250" s="4" t="s">
        <v>745</v>
      </c>
      <c r="E250" s="2">
        <v>449</v>
      </c>
      <c r="F250" s="2">
        <v>384</v>
      </c>
      <c r="G250" s="9">
        <v>0.14000000000000001</v>
      </c>
      <c r="H250" s="4">
        <v>4.4000000000000004</v>
      </c>
      <c r="I250" s="4" t="s">
        <v>18</v>
      </c>
      <c r="J250" s="4" t="s">
        <v>722</v>
      </c>
      <c r="K250" s="4" t="s">
        <v>733</v>
      </c>
      <c r="L250" s="4" t="s">
        <v>23</v>
      </c>
      <c r="M250" s="11" t="s">
        <v>949</v>
      </c>
      <c r="Q250" s="4" t="s">
        <v>22</v>
      </c>
      <c r="R250" t="str">
        <f t="shared" si="12"/>
        <v>Shrub</v>
      </c>
      <c r="U250" t="s">
        <v>746</v>
      </c>
      <c r="V250" s="4">
        <v>249</v>
      </c>
      <c r="W250" s="4" t="s">
        <v>468</v>
      </c>
      <c r="X250" s="4" t="str">
        <f t="shared" si="13"/>
        <v>49</v>
      </c>
      <c r="Y250" s="4" t="str">
        <f t="shared" si="14"/>
        <v>249</v>
      </c>
      <c r="Z250" s="4" t="str">
        <f t="shared" si="15"/>
        <v>1754310282</v>
      </c>
    </row>
    <row r="251" spans="1:26" x14ac:dyDescent="0.3">
      <c r="A251" s="4">
        <v>1754310284</v>
      </c>
      <c r="B251" s="4">
        <v>250</v>
      </c>
      <c r="C251" s="4" t="s">
        <v>40</v>
      </c>
      <c r="D251" s="4" t="s">
        <v>752</v>
      </c>
      <c r="E251" s="2">
        <v>499</v>
      </c>
      <c r="F251" s="2">
        <v>335</v>
      </c>
      <c r="G251" s="9">
        <v>0.32</v>
      </c>
      <c r="H251" s="4">
        <v>4</v>
      </c>
      <c r="I251" s="4" t="s">
        <v>18</v>
      </c>
      <c r="J251" s="4" t="s">
        <v>724</v>
      </c>
      <c r="K251" s="4" t="s">
        <v>733</v>
      </c>
      <c r="L251" s="4" t="s">
        <v>23</v>
      </c>
      <c r="M251" s="11" t="s">
        <v>949</v>
      </c>
      <c r="Q251" s="4" t="s">
        <v>41</v>
      </c>
      <c r="R251" t="str">
        <f t="shared" si="12"/>
        <v>Succulent</v>
      </c>
      <c r="U251" t="s">
        <v>742</v>
      </c>
      <c r="V251" s="4">
        <v>250</v>
      </c>
      <c r="W251" s="4" t="s">
        <v>469</v>
      </c>
      <c r="X251" s="4" t="str">
        <f t="shared" si="13"/>
        <v>50</v>
      </c>
      <c r="Y251" s="4" t="str">
        <f t="shared" si="14"/>
        <v>250</v>
      </c>
      <c r="Z251" s="4" t="str">
        <f t="shared" si="15"/>
        <v>1754310284</v>
      </c>
    </row>
    <row r="252" spans="1:26" x14ac:dyDescent="0.3">
      <c r="A252" s="4">
        <v>1754310287</v>
      </c>
      <c r="B252" s="4">
        <v>251</v>
      </c>
      <c r="C252" s="4" t="s">
        <v>27</v>
      </c>
      <c r="D252" s="4" t="s">
        <v>748</v>
      </c>
      <c r="E252" s="2">
        <v>339</v>
      </c>
      <c r="F252" s="2">
        <v>217</v>
      </c>
      <c r="G252" s="9">
        <v>0.35</v>
      </c>
      <c r="H252" s="4">
        <v>2.8</v>
      </c>
      <c r="I252" s="4" t="s">
        <v>18</v>
      </c>
      <c r="J252" s="4" t="s">
        <v>723</v>
      </c>
      <c r="K252" s="4" t="s">
        <v>737</v>
      </c>
      <c r="L252" s="4" t="s">
        <v>471</v>
      </c>
      <c r="M252" s="11" t="s">
        <v>949</v>
      </c>
      <c r="Q252" s="4" t="s">
        <v>28</v>
      </c>
      <c r="R252" t="str">
        <f t="shared" si="12"/>
        <v>Herb</v>
      </c>
      <c r="U252" t="s">
        <v>742</v>
      </c>
      <c r="V252" s="4">
        <v>251</v>
      </c>
      <c r="W252" s="4" t="s">
        <v>470</v>
      </c>
      <c r="X252" s="4" t="str">
        <f t="shared" si="13"/>
        <v>51</v>
      </c>
      <c r="Y252" s="4" t="str">
        <f t="shared" si="14"/>
        <v>251</v>
      </c>
      <c r="Z252" s="4" t="str">
        <f t="shared" si="15"/>
        <v>1754310287</v>
      </c>
    </row>
    <row r="253" spans="1:26" x14ac:dyDescent="0.3">
      <c r="A253" s="4">
        <v>1754310290</v>
      </c>
      <c r="B253" s="4">
        <v>252</v>
      </c>
      <c r="C253" s="4" t="s">
        <v>473</v>
      </c>
      <c r="D253" s="4" t="s">
        <v>885</v>
      </c>
      <c r="E253" s="2">
        <v>207</v>
      </c>
      <c r="F253" s="2">
        <v>165</v>
      </c>
      <c r="G253" s="9">
        <v>0.2</v>
      </c>
      <c r="H253" s="4">
        <v>4</v>
      </c>
      <c r="I253" s="4" t="s">
        <v>13</v>
      </c>
      <c r="J253" s="4" t="s">
        <v>723</v>
      </c>
      <c r="K253" s="4" t="s">
        <v>732</v>
      </c>
      <c r="L253" s="4" t="s">
        <v>474</v>
      </c>
      <c r="M253" s="11" t="s">
        <v>949</v>
      </c>
      <c r="Q253" s="4" t="s">
        <v>28</v>
      </c>
      <c r="R253" t="str">
        <f t="shared" si="12"/>
        <v>Herb</v>
      </c>
      <c r="U253" t="s">
        <v>742</v>
      </c>
      <c r="V253" s="4">
        <v>252</v>
      </c>
      <c r="W253" s="4" t="s">
        <v>472</v>
      </c>
      <c r="X253" s="4" t="str">
        <f t="shared" si="13"/>
        <v>52</v>
      </c>
      <c r="Y253" s="4" t="str">
        <f t="shared" si="14"/>
        <v>252</v>
      </c>
      <c r="Z253" s="4" t="str">
        <f t="shared" si="15"/>
        <v>1754310290</v>
      </c>
    </row>
    <row r="254" spans="1:26" x14ac:dyDescent="0.3">
      <c r="A254" s="4">
        <v>1754310292</v>
      </c>
      <c r="B254" s="4">
        <v>253</v>
      </c>
      <c r="C254" s="4" t="s">
        <v>40</v>
      </c>
      <c r="D254" s="4" t="s">
        <v>752</v>
      </c>
      <c r="E254" s="2">
        <v>749</v>
      </c>
      <c r="F254" s="2">
        <v>516</v>
      </c>
      <c r="G254" s="9">
        <v>0.31</v>
      </c>
      <c r="H254" s="4">
        <v>3.6</v>
      </c>
      <c r="I254" s="4" t="s">
        <v>18</v>
      </c>
      <c r="J254" s="4" t="s">
        <v>724</v>
      </c>
      <c r="K254" s="4" t="s">
        <v>733</v>
      </c>
      <c r="L254" s="4" t="s">
        <v>23</v>
      </c>
      <c r="M254" s="11" t="s">
        <v>949</v>
      </c>
      <c r="Q254" s="4" t="s">
        <v>41</v>
      </c>
      <c r="R254" t="str">
        <f t="shared" si="12"/>
        <v>Succulent</v>
      </c>
      <c r="U254" t="s">
        <v>742</v>
      </c>
      <c r="V254" s="4">
        <v>253</v>
      </c>
      <c r="W254" s="4" t="s">
        <v>475</v>
      </c>
      <c r="X254" s="4" t="str">
        <f t="shared" si="13"/>
        <v>53</v>
      </c>
      <c r="Y254" s="4" t="str">
        <f t="shared" si="14"/>
        <v>253</v>
      </c>
      <c r="Z254" s="4" t="str">
        <f t="shared" si="15"/>
        <v>1754310292</v>
      </c>
    </row>
    <row r="255" spans="1:26" x14ac:dyDescent="0.3">
      <c r="A255" s="4">
        <v>1754310295</v>
      </c>
      <c r="B255" s="4">
        <v>254</v>
      </c>
      <c r="C255" s="4" t="s">
        <v>50</v>
      </c>
      <c r="D255" s="4" t="s">
        <v>755</v>
      </c>
      <c r="E255" s="2">
        <v>549</v>
      </c>
      <c r="F255" s="2">
        <v>388</v>
      </c>
      <c r="G255" s="9">
        <v>0.28999999999999998</v>
      </c>
      <c r="H255" s="4">
        <v>4.3</v>
      </c>
      <c r="I255" s="4" t="s">
        <v>18</v>
      </c>
      <c r="J255" s="4" t="s">
        <v>726</v>
      </c>
      <c r="K255" s="4" t="s">
        <v>733</v>
      </c>
      <c r="L255" s="4" t="s">
        <v>23</v>
      </c>
      <c r="M255" s="11" t="s">
        <v>949</v>
      </c>
      <c r="Q255" s="4" t="s">
        <v>51</v>
      </c>
      <c r="R255" t="str">
        <f t="shared" si="12"/>
        <v>Foliage</v>
      </c>
      <c r="U255" t="s">
        <v>742</v>
      </c>
      <c r="V255" s="4">
        <v>254</v>
      </c>
      <c r="W255" s="4" t="s">
        <v>476</v>
      </c>
      <c r="X255" s="4" t="str">
        <f t="shared" si="13"/>
        <v>54</v>
      </c>
      <c r="Y255" s="4" t="str">
        <f t="shared" si="14"/>
        <v>254</v>
      </c>
      <c r="Z255" s="4" t="str">
        <f t="shared" si="15"/>
        <v>1754310295</v>
      </c>
    </row>
    <row r="256" spans="1:26" x14ac:dyDescent="0.3">
      <c r="A256" s="4">
        <v>1754310297</v>
      </c>
      <c r="B256" s="4">
        <v>255</v>
      </c>
      <c r="C256" s="4" t="s">
        <v>478</v>
      </c>
      <c r="D256" s="4" t="s">
        <v>886</v>
      </c>
      <c r="E256" s="2">
        <v>339</v>
      </c>
      <c r="F256" s="2">
        <v>135</v>
      </c>
      <c r="G256" s="9">
        <v>0.6</v>
      </c>
      <c r="H256" s="4">
        <v>3.7</v>
      </c>
      <c r="I256" s="4" t="s">
        <v>13</v>
      </c>
      <c r="J256" s="4" t="s">
        <v>728</v>
      </c>
      <c r="K256" s="4" t="s">
        <v>732</v>
      </c>
      <c r="L256" s="4" t="s">
        <v>72</v>
      </c>
      <c r="M256" s="11" t="s">
        <v>949</v>
      </c>
      <c r="Q256" s="4" t="s">
        <v>68</v>
      </c>
      <c r="R256" t="str">
        <f t="shared" si="12"/>
        <v>Fruit</v>
      </c>
      <c r="U256" t="s">
        <v>742</v>
      </c>
      <c r="V256" s="4">
        <v>255</v>
      </c>
      <c r="W256" s="4" t="s">
        <v>477</v>
      </c>
      <c r="X256" s="4" t="str">
        <f t="shared" si="13"/>
        <v>55</v>
      </c>
      <c r="Y256" s="4" t="str">
        <f t="shared" si="14"/>
        <v>255</v>
      </c>
      <c r="Z256" s="4" t="str">
        <f t="shared" si="15"/>
        <v>1754310297</v>
      </c>
    </row>
    <row r="257" spans="1:26" x14ac:dyDescent="0.3">
      <c r="A257" s="4">
        <v>1754310300</v>
      </c>
      <c r="B257" s="4">
        <v>256</v>
      </c>
      <c r="C257" s="4" t="s">
        <v>480</v>
      </c>
      <c r="D257" s="4" t="s">
        <v>887</v>
      </c>
      <c r="E257" s="2">
        <v>249</v>
      </c>
      <c r="F257" s="2">
        <v>179</v>
      </c>
      <c r="G257" s="9">
        <v>0.28000000000000003</v>
      </c>
      <c r="H257" s="4">
        <v>2.5</v>
      </c>
      <c r="I257" s="4" t="s">
        <v>18</v>
      </c>
      <c r="J257" s="4" t="s">
        <v>726</v>
      </c>
      <c r="K257" s="4" t="s">
        <v>733</v>
      </c>
      <c r="L257" s="4" t="s">
        <v>76</v>
      </c>
      <c r="M257" s="11" t="s">
        <v>949</v>
      </c>
      <c r="Q257" s="4" t="s">
        <v>51</v>
      </c>
      <c r="R257" t="str">
        <f t="shared" si="12"/>
        <v>Foliage</v>
      </c>
      <c r="U257" t="s">
        <v>742</v>
      </c>
      <c r="V257" s="4">
        <v>256</v>
      </c>
      <c r="W257" s="4" t="s">
        <v>479</v>
      </c>
      <c r="X257" s="4" t="str">
        <f t="shared" si="13"/>
        <v>56</v>
      </c>
      <c r="Y257" s="4" t="str">
        <f t="shared" si="14"/>
        <v>256</v>
      </c>
      <c r="Z257" s="4" t="str">
        <f t="shared" si="15"/>
        <v>1754310300</v>
      </c>
    </row>
    <row r="258" spans="1:26" x14ac:dyDescent="0.3">
      <c r="A258" s="4">
        <v>1754310303</v>
      </c>
      <c r="B258" s="4">
        <v>257</v>
      </c>
      <c r="C258" s="4" t="s">
        <v>59</v>
      </c>
      <c r="D258" s="4" t="s">
        <v>757</v>
      </c>
      <c r="E258" s="2">
        <v>399</v>
      </c>
      <c r="F258" s="2">
        <v>142</v>
      </c>
      <c r="G258" s="9">
        <v>0.64</v>
      </c>
      <c r="H258" s="4">
        <v>4</v>
      </c>
      <c r="I258" s="4" t="s">
        <v>13</v>
      </c>
      <c r="J258" s="4" t="s">
        <v>729</v>
      </c>
      <c r="K258" s="4" t="s">
        <v>732</v>
      </c>
      <c r="L258" s="4" t="s">
        <v>44</v>
      </c>
      <c r="M258" s="11" t="s">
        <v>949</v>
      </c>
      <c r="Q258" s="4" t="s">
        <v>177</v>
      </c>
      <c r="R258" t="str">
        <f t="shared" si="12"/>
        <v>Flower</v>
      </c>
      <c r="U258" t="s">
        <v>742</v>
      </c>
      <c r="V258" s="4">
        <v>257</v>
      </c>
      <c r="W258" s="4" t="s">
        <v>481</v>
      </c>
      <c r="X258" s="4" t="str">
        <f t="shared" si="13"/>
        <v>57</v>
      </c>
      <c r="Y258" s="4" t="str">
        <f t="shared" si="14"/>
        <v>257</v>
      </c>
      <c r="Z258" s="4" t="str">
        <f t="shared" si="15"/>
        <v>1754310303</v>
      </c>
    </row>
    <row r="259" spans="1:26" x14ac:dyDescent="0.3">
      <c r="A259" s="4">
        <v>1754310305</v>
      </c>
      <c r="B259" s="4">
        <v>258</v>
      </c>
      <c r="C259" s="4" t="s">
        <v>128</v>
      </c>
      <c r="D259" s="4" t="s">
        <v>775</v>
      </c>
      <c r="E259" s="2">
        <v>199</v>
      </c>
      <c r="F259" s="2">
        <v>137</v>
      </c>
      <c r="G259" s="9">
        <v>0.31</v>
      </c>
      <c r="H259" s="4">
        <v>4</v>
      </c>
      <c r="I259" s="4" t="s">
        <v>13</v>
      </c>
      <c r="J259" s="4" t="s">
        <v>723</v>
      </c>
      <c r="K259" s="4" t="s">
        <v>732</v>
      </c>
      <c r="L259" s="4" t="s">
        <v>121</v>
      </c>
      <c r="M259" s="11" t="s">
        <v>949</v>
      </c>
      <c r="Q259" s="4" t="s">
        <v>28</v>
      </c>
      <c r="R259" t="str">
        <f t="shared" ref="R259:R322" si="16">RIGHT(Q259,LEN(Q259)-FIND(" ",Q259,1))</f>
        <v>Herb</v>
      </c>
      <c r="U259" t="s">
        <v>742</v>
      </c>
      <c r="V259" s="4">
        <v>258</v>
      </c>
      <c r="W259" s="4" t="s">
        <v>482</v>
      </c>
      <c r="X259" s="4" t="str">
        <f t="shared" ref="X259:X322" si="17">RIGHT(W259,2)</f>
        <v>58</v>
      </c>
      <c r="Y259" s="4" t="str">
        <f t="shared" ref="Y259:Y322" si="18">RIGHT(W259,LEN(W259)-FIND("-",W259,1))</f>
        <v>258</v>
      </c>
      <c r="Z259" s="4" t="str">
        <f t="shared" ref="Z259:Z322" si="19">LEFT(W259,FIND("-",W259,1)-1)</f>
        <v>1754310305</v>
      </c>
    </row>
    <row r="260" spans="1:26" x14ac:dyDescent="0.3">
      <c r="A260" s="4">
        <v>1754310308</v>
      </c>
      <c r="B260" s="4">
        <v>259</v>
      </c>
      <c r="C260" s="4" t="s">
        <v>25</v>
      </c>
      <c r="D260" s="4" t="s">
        <v>747</v>
      </c>
      <c r="E260" s="2">
        <v>449</v>
      </c>
      <c r="F260" s="2">
        <v>349</v>
      </c>
      <c r="G260" s="9">
        <v>0.22</v>
      </c>
      <c r="H260" s="4">
        <v>4.3</v>
      </c>
      <c r="I260" s="4" t="s">
        <v>18</v>
      </c>
      <c r="J260" s="4" t="s">
        <v>722</v>
      </c>
      <c r="K260" s="4" t="s">
        <v>733</v>
      </c>
      <c r="L260" s="4" t="s">
        <v>23</v>
      </c>
      <c r="M260" s="11" t="s">
        <v>949</v>
      </c>
      <c r="Q260" s="4" t="s">
        <v>22</v>
      </c>
      <c r="R260" t="str">
        <f t="shared" si="16"/>
        <v>Shrub</v>
      </c>
      <c r="U260" t="s">
        <v>746</v>
      </c>
      <c r="V260" s="4">
        <v>259</v>
      </c>
      <c r="W260" s="4" t="s">
        <v>483</v>
      </c>
      <c r="X260" s="4" t="str">
        <f t="shared" si="17"/>
        <v>59</v>
      </c>
      <c r="Y260" s="4" t="str">
        <f t="shared" si="18"/>
        <v>259</v>
      </c>
      <c r="Z260" s="4" t="str">
        <f t="shared" si="19"/>
        <v>1754310308</v>
      </c>
    </row>
    <row r="261" spans="1:26" x14ac:dyDescent="0.3">
      <c r="A261" s="4">
        <v>1754310311</v>
      </c>
      <c r="B261" s="4">
        <v>260</v>
      </c>
      <c r="C261" s="4" t="s">
        <v>25</v>
      </c>
      <c r="D261" s="4" t="s">
        <v>747</v>
      </c>
      <c r="E261" s="2">
        <v>449</v>
      </c>
      <c r="F261" s="2">
        <v>349</v>
      </c>
      <c r="G261" s="9">
        <v>0.22</v>
      </c>
      <c r="H261" s="4">
        <v>4.3</v>
      </c>
      <c r="I261" s="4" t="s">
        <v>18</v>
      </c>
      <c r="J261" s="4" t="s">
        <v>722</v>
      </c>
      <c r="K261" s="4" t="s">
        <v>733</v>
      </c>
      <c r="L261" s="4" t="s">
        <v>23</v>
      </c>
      <c r="M261" s="11" t="s">
        <v>949</v>
      </c>
      <c r="Q261" s="4" t="s">
        <v>22</v>
      </c>
      <c r="R261" t="str">
        <f t="shared" si="16"/>
        <v>Shrub</v>
      </c>
      <c r="U261" t="s">
        <v>746</v>
      </c>
      <c r="V261" s="4">
        <v>260</v>
      </c>
      <c r="W261" s="4" t="s">
        <v>484</v>
      </c>
      <c r="X261" s="4" t="str">
        <f t="shared" si="17"/>
        <v>60</v>
      </c>
      <c r="Y261" s="4" t="str">
        <f t="shared" si="18"/>
        <v>260</v>
      </c>
      <c r="Z261" s="4" t="str">
        <f t="shared" si="19"/>
        <v>1754310311</v>
      </c>
    </row>
    <row r="262" spans="1:26" x14ac:dyDescent="0.3">
      <c r="A262" s="4">
        <v>1754310313</v>
      </c>
      <c r="B262" s="4">
        <v>261</v>
      </c>
      <c r="C262" s="4" t="s">
        <v>463</v>
      </c>
      <c r="D262" s="4" t="s">
        <v>884</v>
      </c>
      <c r="E262" s="2">
        <v>199</v>
      </c>
      <c r="F262" s="2">
        <v>135</v>
      </c>
      <c r="G262" s="9">
        <v>0.32</v>
      </c>
      <c r="H262" s="4">
        <v>4</v>
      </c>
      <c r="I262" s="4" t="s">
        <v>18</v>
      </c>
      <c r="J262" s="4" t="s">
        <v>728</v>
      </c>
      <c r="K262" s="4" t="s">
        <v>732</v>
      </c>
      <c r="L262" s="4" t="s">
        <v>121</v>
      </c>
      <c r="M262" s="11" t="s">
        <v>949</v>
      </c>
      <c r="Q262" s="4" t="s">
        <v>68</v>
      </c>
      <c r="R262" t="str">
        <f t="shared" si="16"/>
        <v>Fruit</v>
      </c>
      <c r="U262" t="s">
        <v>742</v>
      </c>
      <c r="V262" s="4">
        <v>261</v>
      </c>
      <c r="W262" s="4" t="s">
        <v>485</v>
      </c>
      <c r="X262" s="4" t="str">
        <f t="shared" si="17"/>
        <v>61</v>
      </c>
      <c r="Y262" s="4" t="str">
        <f t="shared" si="18"/>
        <v>261</v>
      </c>
      <c r="Z262" s="4" t="str">
        <f t="shared" si="19"/>
        <v>1754310313</v>
      </c>
    </row>
    <row r="263" spans="1:26" x14ac:dyDescent="0.3">
      <c r="A263" s="4">
        <v>1754310315</v>
      </c>
      <c r="B263" s="4">
        <v>262</v>
      </c>
      <c r="C263" s="4" t="s">
        <v>463</v>
      </c>
      <c r="D263" s="4" t="s">
        <v>884</v>
      </c>
      <c r="E263" s="2">
        <v>199</v>
      </c>
      <c r="F263" s="2">
        <v>140</v>
      </c>
      <c r="G263" s="9">
        <v>0.28999999999999998</v>
      </c>
      <c r="H263" s="4">
        <v>4</v>
      </c>
      <c r="I263" s="4" t="s">
        <v>18</v>
      </c>
      <c r="J263" s="4" t="s">
        <v>728</v>
      </c>
      <c r="K263" s="4" t="s">
        <v>732</v>
      </c>
      <c r="L263" s="4" t="s">
        <v>121</v>
      </c>
      <c r="M263" s="11" t="s">
        <v>949</v>
      </c>
      <c r="Q263" s="4" t="s">
        <v>68</v>
      </c>
      <c r="R263" t="str">
        <f t="shared" si="16"/>
        <v>Fruit</v>
      </c>
      <c r="U263" t="s">
        <v>742</v>
      </c>
      <c r="V263" s="4">
        <v>262</v>
      </c>
      <c r="W263" s="4" t="s">
        <v>486</v>
      </c>
      <c r="X263" s="4" t="str">
        <f t="shared" si="17"/>
        <v>62</v>
      </c>
      <c r="Y263" s="4" t="str">
        <f t="shared" si="18"/>
        <v>262</v>
      </c>
      <c r="Z263" s="4" t="str">
        <f t="shared" si="19"/>
        <v>1754310315</v>
      </c>
    </row>
    <row r="264" spans="1:26" x14ac:dyDescent="0.3">
      <c r="A264" s="4">
        <v>1754310318</v>
      </c>
      <c r="B264" s="4">
        <v>263</v>
      </c>
      <c r="C264" s="4" t="s">
        <v>40</v>
      </c>
      <c r="D264" s="4" t="s">
        <v>752</v>
      </c>
      <c r="E264" s="2">
        <v>499</v>
      </c>
      <c r="F264" s="2">
        <v>424</v>
      </c>
      <c r="G264" s="9">
        <v>0.15</v>
      </c>
      <c r="H264" s="4">
        <v>4.3</v>
      </c>
      <c r="I264" s="4" t="s">
        <v>18</v>
      </c>
      <c r="J264" s="4" t="s">
        <v>724</v>
      </c>
      <c r="K264" s="4" t="s">
        <v>733</v>
      </c>
      <c r="L264" s="4" t="s">
        <v>23</v>
      </c>
      <c r="M264" s="11" t="s">
        <v>949</v>
      </c>
      <c r="Q264" s="4" t="s">
        <v>41</v>
      </c>
      <c r="R264" t="str">
        <f t="shared" si="16"/>
        <v>Succulent</v>
      </c>
      <c r="U264" t="s">
        <v>742</v>
      </c>
      <c r="V264" s="4">
        <v>263</v>
      </c>
      <c r="W264" s="4" t="s">
        <v>487</v>
      </c>
      <c r="X264" s="4" t="str">
        <f t="shared" si="17"/>
        <v>63</v>
      </c>
      <c r="Y264" s="4" t="str">
        <f t="shared" si="18"/>
        <v>263</v>
      </c>
      <c r="Z264" s="4" t="str">
        <f t="shared" si="19"/>
        <v>1754310318</v>
      </c>
    </row>
    <row r="265" spans="1:26" x14ac:dyDescent="0.3">
      <c r="A265" s="4">
        <v>1754310320</v>
      </c>
      <c r="B265" s="4">
        <v>264</v>
      </c>
      <c r="C265" s="4" t="s">
        <v>21</v>
      </c>
      <c r="D265" s="4" t="s">
        <v>745</v>
      </c>
      <c r="E265" s="2">
        <v>449</v>
      </c>
      <c r="F265" s="2">
        <v>359</v>
      </c>
      <c r="G265" s="9">
        <v>0.2</v>
      </c>
      <c r="H265" s="4">
        <v>4</v>
      </c>
      <c r="I265" s="4" t="s">
        <v>18</v>
      </c>
      <c r="J265" s="4" t="s">
        <v>722</v>
      </c>
      <c r="K265" s="4" t="s">
        <v>733</v>
      </c>
      <c r="L265" s="4" t="s">
        <v>23</v>
      </c>
      <c r="M265" s="11" t="s">
        <v>949</v>
      </c>
      <c r="Q265" s="4" t="s">
        <v>22</v>
      </c>
      <c r="R265" t="str">
        <f t="shared" si="16"/>
        <v>Shrub</v>
      </c>
      <c r="U265" t="s">
        <v>746</v>
      </c>
      <c r="V265" s="4">
        <v>264</v>
      </c>
      <c r="W265" s="4" t="s">
        <v>488</v>
      </c>
      <c r="X265" s="4" t="str">
        <f t="shared" si="17"/>
        <v>64</v>
      </c>
      <c r="Y265" s="4" t="str">
        <f t="shared" si="18"/>
        <v>264</v>
      </c>
      <c r="Z265" s="4" t="str">
        <f t="shared" si="19"/>
        <v>1754310320</v>
      </c>
    </row>
    <row r="266" spans="1:26" x14ac:dyDescent="0.3">
      <c r="A266" s="4">
        <v>1754310323</v>
      </c>
      <c r="B266" s="4">
        <v>265</v>
      </c>
      <c r="C266" s="4" t="s">
        <v>490</v>
      </c>
      <c r="D266" s="4" t="s">
        <v>888</v>
      </c>
      <c r="E266" s="2">
        <v>399</v>
      </c>
      <c r="F266" s="2">
        <v>310</v>
      </c>
      <c r="G266" s="9">
        <v>0.22</v>
      </c>
      <c r="H266" s="4">
        <v>4.3</v>
      </c>
      <c r="I266" s="4" t="s">
        <v>18</v>
      </c>
      <c r="J266" s="4" t="s">
        <v>727</v>
      </c>
      <c r="K266" s="4" t="s">
        <v>733</v>
      </c>
      <c r="L266" s="4" t="s">
        <v>23</v>
      </c>
      <c r="M266" s="11" t="s">
        <v>949</v>
      </c>
      <c r="Q266" s="4" t="s">
        <v>56</v>
      </c>
      <c r="R266" t="str">
        <f t="shared" si="16"/>
        <v>Bamboo</v>
      </c>
      <c r="U266" t="s">
        <v>746</v>
      </c>
      <c r="V266" s="4">
        <v>265</v>
      </c>
      <c r="W266" s="4" t="s">
        <v>489</v>
      </c>
      <c r="X266" s="4" t="str">
        <f t="shared" si="17"/>
        <v>65</v>
      </c>
      <c r="Y266" s="4" t="str">
        <f t="shared" si="18"/>
        <v>265</v>
      </c>
      <c r="Z266" s="4" t="str">
        <f t="shared" si="19"/>
        <v>1754310323</v>
      </c>
    </row>
    <row r="267" spans="1:26" x14ac:dyDescent="0.3">
      <c r="A267" s="4">
        <v>1754310326</v>
      </c>
      <c r="B267" s="4">
        <v>266</v>
      </c>
      <c r="C267" s="4" t="s">
        <v>492</v>
      </c>
      <c r="D267" s="4" t="s">
        <v>889</v>
      </c>
      <c r="E267" s="2">
        <v>357</v>
      </c>
      <c r="F267" s="2">
        <v>149</v>
      </c>
      <c r="G267" s="9">
        <v>0.57999999999999996</v>
      </c>
      <c r="H267" s="4">
        <v>1.8</v>
      </c>
      <c r="I267" s="4" t="s">
        <v>18</v>
      </c>
      <c r="J267" s="4" t="s">
        <v>721</v>
      </c>
      <c r="K267" s="4" t="s">
        <v>737</v>
      </c>
      <c r="L267" s="4" t="s">
        <v>493</v>
      </c>
      <c r="M267" s="11" t="s">
        <v>949</v>
      </c>
      <c r="Q267" s="4" t="s">
        <v>14</v>
      </c>
      <c r="R267" t="str">
        <f t="shared" si="16"/>
        <v>Bonsai</v>
      </c>
      <c r="U267" t="s">
        <v>742</v>
      </c>
      <c r="V267" s="4">
        <v>266</v>
      </c>
      <c r="W267" s="4" t="s">
        <v>491</v>
      </c>
      <c r="X267" s="4" t="str">
        <f t="shared" si="17"/>
        <v>66</v>
      </c>
      <c r="Y267" s="4" t="str">
        <f t="shared" si="18"/>
        <v>266</v>
      </c>
      <c r="Z267" s="4" t="str">
        <f t="shared" si="19"/>
        <v>1754310326</v>
      </c>
    </row>
    <row r="268" spans="1:26" x14ac:dyDescent="0.3">
      <c r="A268" s="4">
        <v>1754310328</v>
      </c>
      <c r="B268" s="4">
        <v>267</v>
      </c>
      <c r="C268" s="4" t="s">
        <v>495</v>
      </c>
      <c r="D268" s="4" t="s">
        <v>890</v>
      </c>
      <c r="E268" s="2">
        <v>399</v>
      </c>
      <c r="F268" s="2">
        <v>169</v>
      </c>
      <c r="G268" s="9">
        <v>0.56999999999999995</v>
      </c>
      <c r="H268" s="4">
        <v>3.3</v>
      </c>
      <c r="I268" s="4" t="s">
        <v>18</v>
      </c>
      <c r="J268" s="4" t="s">
        <v>730</v>
      </c>
      <c r="K268" s="4" t="s">
        <v>732</v>
      </c>
      <c r="L268" s="4" t="s">
        <v>29</v>
      </c>
      <c r="M268" s="11" t="s">
        <v>949</v>
      </c>
      <c r="Q268" s="4" t="s">
        <v>180</v>
      </c>
      <c r="R268" t="str">
        <f t="shared" si="16"/>
        <v>Tree</v>
      </c>
      <c r="U268" t="s">
        <v>742</v>
      </c>
      <c r="V268" s="4">
        <v>267</v>
      </c>
      <c r="W268" s="4" t="s">
        <v>494</v>
      </c>
      <c r="X268" s="4" t="str">
        <f t="shared" si="17"/>
        <v>67</v>
      </c>
      <c r="Y268" s="4" t="str">
        <f t="shared" si="18"/>
        <v>267</v>
      </c>
      <c r="Z268" s="4" t="str">
        <f t="shared" si="19"/>
        <v>1754310328</v>
      </c>
    </row>
    <row r="269" spans="1:26" x14ac:dyDescent="0.3">
      <c r="A269" s="4">
        <v>1754310331</v>
      </c>
      <c r="B269" s="4">
        <v>268</v>
      </c>
      <c r="C269" s="4" t="s">
        <v>497</v>
      </c>
      <c r="D269" s="4" t="s">
        <v>891</v>
      </c>
      <c r="E269" s="2">
        <v>999</v>
      </c>
      <c r="F269" s="2">
        <v>345</v>
      </c>
      <c r="G269" s="9">
        <v>0.65</v>
      </c>
      <c r="H269" s="4">
        <v>4.2</v>
      </c>
      <c r="I269" s="4" t="s">
        <v>18</v>
      </c>
      <c r="J269" s="4" t="s">
        <v>727</v>
      </c>
      <c r="K269" s="4" t="s">
        <v>737</v>
      </c>
      <c r="L269" s="4" t="s">
        <v>498</v>
      </c>
      <c r="M269" s="11" t="s">
        <v>949</v>
      </c>
      <c r="Q269" s="4" t="s">
        <v>56</v>
      </c>
      <c r="R269" t="str">
        <f t="shared" si="16"/>
        <v>Bamboo</v>
      </c>
      <c r="U269" t="s">
        <v>742</v>
      </c>
      <c r="V269" s="4">
        <v>268</v>
      </c>
      <c r="W269" s="4" t="s">
        <v>496</v>
      </c>
      <c r="X269" s="4" t="str">
        <f t="shared" si="17"/>
        <v>68</v>
      </c>
      <c r="Y269" s="4" t="str">
        <f t="shared" si="18"/>
        <v>268</v>
      </c>
      <c r="Z269" s="4" t="str">
        <f t="shared" si="19"/>
        <v>1754310331</v>
      </c>
    </row>
    <row r="270" spans="1:26" x14ac:dyDescent="0.3">
      <c r="A270" s="4">
        <v>1754310334</v>
      </c>
      <c r="B270" s="4">
        <v>269</v>
      </c>
      <c r="C270" s="4" t="s">
        <v>40</v>
      </c>
      <c r="D270" s="4" t="s">
        <v>752</v>
      </c>
      <c r="E270" s="2">
        <v>449</v>
      </c>
      <c r="F270" s="2">
        <v>335</v>
      </c>
      <c r="G270" s="9">
        <v>0.25</v>
      </c>
      <c r="H270" s="4">
        <v>4</v>
      </c>
      <c r="I270" s="4" t="s">
        <v>18</v>
      </c>
      <c r="J270" s="4" t="s">
        <v>724</v>
      </c>
      <c r="K270" s="4" t="s">
        <v>733</v>
      </c>
      <c r="L270" s="4" t="s">
        <v>23</v>
      </c>
      <c r="M270" s="11" t="s">
        <v>949</v>
      </c>
      <c r="Q270" s="4" t="s">
        <v>41</v>
      </c>
      <c r="R270" t="str">
        <f t="shared" si="16"/>
        <v>Succulent</v>
      </c>
      <c r="U270" t="s">
        <v>742</v>
      </c>
      <c r="V270" s="4">
        <v>269</v>
      </c>
      <c r="W270" s="4" t="s">
        <v>499</v>
      </c>
      <c r="X270" s="4" t="str">
        <f t="shared" si="17"/>
        <v>69</v>
      </c>
      <c r="Y270" s="4" t="str">
        <f t="shared" si="18"/>
        <v>269</v>
      </c>
      <c r="Z270" s="4" t="str">
        <f t="shared" si="19"/>
        <v>1754310334</v>
      </c>
    </row>
    <row r="271" spans="1:26" x14ac:dyDescent="0.3">
      <c r="A271" s="4">
        <v>1754310336</v>
      </c>
      <c r="B271" s="4">
        <v>270</v>
      </c>
      <c r="C271" s="4" t="s">
        <v>40</v>
      </c>
      <c r="D271" s="4" t="s">
        <v>752</v>
      </c>
      <c r="E271" s="2">
        <v>499</v>
      </c>
      <c r="F271" s="2">
        <v>426</v>
      </c>
      <c r="G271" s="9">
        <v>0.14000000000000001</v>
      </c>
      <c r="H271" s="4">
        <v>4.2</v>
      </c>
      <c r="I271" s="4" t="s">
        <v>18</v>
      </c>
      <c r="J271" s="4" t="s">
        <v>724</v>
      </c>
      <c r="K271" s="4" t="s">
        <v>733</v>
      </c>
      <c r="L271" s="4" t="s">
        <v>23</v>
      </c>
      <c r="M271" s="11" t="s">
        <v>949</v>
      </c>
      <c r="Q271" s="4" t="s">
        <v>41</v>
      </c>
      <c r="R271" t="str">
        <f t="shared" si="16"/>
        <v>Succulent</v>
      </c>
      <c r="U271" t="s">
        <v>742</v>
      </c>
      <c r="V271" s="4">
        <v>270</v>
      </c>
      <c r="W271" s="4" t="s">
        <v>500</v>
      </c>
      <c r="X271" s="4" t="str">
        <f t="shared" si="17"/>
        <v>70</v>
      </c>
      <c r="Y271" s="4" t="str">
        <f t="shared" si="18"/>
        <v>270</v>
      </c>
      <c r="Z271" s="4" t="str">
        <f t="shared" si="19"/>
        <v>1754310336</v>
      </c>
    </row>
    <row r="272" spans="1:26" x14ac:dyDescent="0.3">
      <c r="A272" s="4">
        <v>1754310339</v>
      </c>
      <c r="B272" s="4">
        <v>271</v>
      </c>
      <c r="C272" s="4" t="s">
        <v>502</v>
      </c>
      <c r="D272" s="4" t="s">
        <v>892</v>
      </c>
      <c r="E272" s="2">
        <v>399</v>
      </c>
      <c r="F272" s="2">
        <v>203</v>
      </c>
      <c r="G272" s="9">
        <v>0.49</v>
      </c>
      <c r="H272" s="4">
        <v>1.3</v>
      </c>
      <c r="I272" s="4" t="s">
        <v>13</v>
      </c>
      <c r="J272" s="4" t="s">
        <v>726</v>
      </c>
      <c r="K272" s="4" t="s">
        <v>732</v>
      </c>
      <c r="L272" s="4" t="s">
        <v>29</v>
      </c>
      <c r="M272" s="11" t="s">
        <v>949</v>
      </c>
      <c r="Q272" s="4" t="s">
        <v>51</v>
      </c>
      <c r="R272" t="str">
        <f t="shared" si="16"/>
        <v>Foliage</v>
      </c>
      <c r="U272" t="s">
        <v>744</v>
      </c>
      <c r="V272" s="4">
        <v>271</v>
      </c>
      <c r="W272" s="4" t="s">
        <v>501</v>
      </c>
      <c r="X272" s="4" t="str">
        <f t="shared" si="17"/>
        <v>71</v>
      </c>
      <c r="Y272" s="4" t="str">
        <f t="shared" si="18"/>
        <v>271</v>
      </c>
      <c r="Z272" s="4" t="str">
        <f t="shared" si="19"/>
        <v>1754310339</v>
      </c>
    </row>
    <row r="273" spans="1:26" x14ac:dyDescent="0.3">
      <c r="A273" s="4">
        <v>1754310342</v>
      </c>
      <c r="B273" s="4">
        <v>272</v>
      </c>
      <c r="C273" s="4" t="s">
        <v>504</v>
      </c>
      <c r="D273" s="4" t="s">
        <v>893</v>
      </c>
      <c r="E273" s="2">
        <v>800</v>
      </c>
      <c r="F273" s="2">
        <v>140</v>
      </c>
      <c r="G273" s="9">
        <v>0.82</v>
      </c>
      <c r="H273" s="4">
        <v>3.2</v>
      </c>
      <c r="I273" s="4" t="s">
        <v>249</v>
      </c>
      <c r="J273" s="4" t="s">
        <v>730</v>
      </c>
      <c r="K273" s="4" t="s">
        <v>737</v>
      </c>
      <c r="L273" s="4" t="s">
        <v>72</v>
      </c>
      <c r="M273" s="11" t="s">
        <v>949</v>
      </c>
      <c r="Q273" s="4" t="s">
        <v>180</v>
      </c>
      <c r="R273" t="str">
        <f t="shared" si="16"/>
        <v>Tree</v>
      </c>
      <c r="U273" t="s">
        <v>742</v>
      </c>
      <c r="V273" s="4">
        <v>272</v>
      </c>
      <c r="W273" s="4" t="s">
        <v>503</v>
      </c>
      <c r="X273" s="4" t="str">
        <f t="shared" si="17"/>
        <v>72</v>
      </c>
      <c r="Y273" s="4" t="str">
        <f t="shared" si="18"/>
        <v>272</v>
      </c>
      <c r="Z273" s="4" t="str">
        <f t="shared" si="19"/>
        <v>1754310342</v>
      </c>
    </row>
    <row r="274" spans="1:26" x14ac:dyDescent="0.3">
      <c r="A274" s="4">
        <v>1754310344</v>
      </c>
      <c r="B274" s="4">
        <v>273</v>
      </c>
      <c r="C274" s="4" t="s">
        <v>40</v>
      </c>
      <c r="D274" s="4" t="s">
        <v>752</v>
      </c>
      <c r="E274" s="2">
        <v>499</v>
      </c>
      <c r="F274" s="2">
        <v>335</v>
      </c>
      <c r="G274" s="9">
        <v>0.32</v>
      </c>
      <c r="H274" s="4">
        <v>4</v>
      </c>
      <c r="I274" s="4" t="s">
        <v>18</v>
      </c>
      <c r="J274" s="4" t="s">
        <v>724</v>
      </c>
      <c r="K274" s="4" t="s">
        <v>733</v>
      </c>
      <c r="L274" s="4" t="s">
        <v>23</v>
      </c>
      <c r="M274" s="11" t="s">
        <v>949</v>
      </c>
      <c r="Q274" s="4" t="s">
        <v>41</v>
      </c>
      <c r="R274" t="str">
        <f t="shared" si="16"/>
        <v>Succulent</v>
      </c>
      <c r="U274" t="s">
        <v>742</v>
      </c>
      <c r="V274" s="4">
        <v>273</v>
      </c>
      <c r="W274" s="4" t="s">
        <v>505</v>
      </c>
      <c r="X274" s="4" t="str">
        <f t="shared" si="17"/>
        <v>73</v>
      </c>
      <c r="Y274" s="4" t="str">
        <f t="shared" si="18"/>
        <v>273</v>
      </c>
      <c r="Z274" s="4" t="str">
        <f t="shared" si="19"/>
        <v>1754310344</v>
      </c>
    </row>
    <row r="275" spans="1:26" x14ac:dyDescent="0.3">
      <c r="A275" s="4">
        <v>1754310347</v>
      </c>
      <c r="B275" s="4">
        <v>274</v>
      </c>
      <c r="C275" s="4" t="s">
        <v>21</v>
      </c>
      <c r="D275" s="4" t="s">
        <v>745</v>
      </c>
      <c r="E275" s="2">
        <v>445</v>
      </c>
      <c r="F275" s="2">
        <v>335</v>
      </c>
      <c r="G275" s="9">
        <v>0.24</v>
      </c>
      <c r="H275" s="4">
        <v>4.4000000000000004</v>
      </c>
      <c r="I275" s="4" t="s">
        <v>18</v>
      </c>
      <c r="J275" s="4" t="s">
        <v>722</v>
      </c>
      <c r="K275" s="4" t="s">
        <v>733</v>
      </c>
      <c r="L275" s="4" t="s">
        <v>23</v>
      </c>
      <c r="M275" s="11" t="s">
        <v>949</v>
      </c>
      <c r="Q275" s="4" t="s">
        <v>22</v>
      </c>
      <c r="R275" t="str">
        <f t="shared" si="16"/>
        <v>Shrub</v>
      </c>
      <c r="U275" t="s">
        <v>746</v>
      </c>
      <c r="V275" s="4">
        <v>274</v>
      </c>
      <c r="W275" s="4" t="s">
        <v>506</v>
      </c>
      <c r="X275" s="4" t="str">
        <f t="shared" si="17"/>
        <v>74</v>
      </c>
      <c r="Y275" s="4" t="str">
        <f t="shared" si="18"/>
        <v>274</v>
      </c>
      <c r="Z275" s="4" t="str">
        <f t="shared" si="19"/>
        <v>1754310347</v>
      </c>
    </row>
    <row r="276" spans="1:26" x14ac:dyDescent="0.3">
      <c r="A276" s="4">
        <v>1754310349</v>
      </c>
      <c r="B276" s="4">
        <v>275</v>
      </c>
      <c r="C276" s="4" t="s">
        <v>508</v>
      </c>
      <c r="D276" s="4" t="s">
        <v>894</v>
      </c>
      <c r="E276" s="2">
        <v>399</v>
      </c>
      <c r="F276" s="2">
        <v>151</v>
      </c>
      <c r="G276" s="9">
        <v>0.62</v>
      </c>
      <c r="H276" s="4">
        <v>3.1</v>
      </c>
      <c r="I276" s="4" t="s">
        <v>13</v>
      </c>
      <c r="J276" s="4" t="s">
        <v>727</v>
      </c>
      <c r="K276" s="4" t="s">
        <v>737</v>
      </c>
      <c r="L276" s="4" t="s">
        <v>298</v>
      </c>
      <c r="M276" s="11" t="s">
        <v>949</v>
      </c>
      <c r="Q276" s="4" t="s">
        <v>56</v>
      </c>
      <c r="R276" t="str">
        <f t="shared" si="16"/>
        <v>Bamboo</v>
      </c>
      <c r="U276" t="s">
        <v>742</v>
      </c>
      <c r="V276" s="4">
        <v>275</v>
      </c>
      <c r="W276" s="4" t="s">
        <v>507</v>
      </c>
      <c r="X276" s="4" t="str">
        <f t="shared" si="17"/>
        <v>75</v>
      </c>
      <c r="Y276" s="4" t="str">
        <f t="shared" si="18"/>
        <v>275</v>
      </c>
      <c r="Z276" s="4" t="str">
        <f t="shared" si="19"/>
        <v>1754310349</v>
      </c>
    </row>
    <row r="277" spans="1:26" x14ac:dyDescent="0.3">
      <c r="A277" s="4">
        <v>1754310352</v>
      </c>
      <c r="B277" s="4">
        <v>276</v>
      </c>
      <c r="C277" s="4" t="s">
        <v>27</v>
      </c>
      <c r="D277" s="4" t="s">
        <v>748</v>
      </c>
      <c r="E277" s="2">
        <v>499</v>
      </c>
      <c r="F277" s="2">
        <v>150</v>
      </c>
      <c r="G277" s="9">
        <v>0.69</v>
      </c>
      <c r="H277" s="4">
        <v>4</v>
      </c>
      <c r="I277" s="4" t="s">
        <v>13</v>
      </c>
      <c r="J277" s="4" t="s">
        <v>723</v>
      </c>
      <c r="K277" s="4" t="s">
        <v>732</v>
      </c>
      <c r="L277" s="4" t="s">
        <v>29</v>
      </c>
      <c r="M277" s="11" t="s">
        <v>949</v>
      </c>
      <c r="Q277" s="4" t="s">
        <v>28</v>
      </c>
      <c r="R277" t="str">
        <f t="shared" si="16"/>
        <v>Herb</v>
      </c>
      <c r="U277" t="s">
        <v>742</v>
      </c>
      <c r="V277" s="4">
        <v>276</v>
      </c>
      <c r="W277" s="4" t="s">
        <v>509</v>
      </c>
      <c r="X277" s="4" t="str">
        <f t="shared" si="17"/>
        <v>76</v>
      </c>
      <c r="Y277" s="4" t="str">
        <f t="shared" si="18"/>
        <v>276</v>
      </c>
      <c r="Z277" s="4" t="str">
        <f t="shared" si="19"/>
        <v>1754310352</v>
      </c>
    </row>
    <row r="278" spans="1:26" x14ac:dyDescent="0.3">
      <c r="A278" s="4">
        <v>1754310354</v>
      </c>
      <c r="B278" s="4">
        <v>277</v>
      </c>
      <c r="C278" s="4" t="s">
        <v>511</v>
      </c>
      <c r="D278" s="4" t="s">
        <v>895</v>
      </c>
      <c r="E278" s="2">
        <v>599</v>
      </c>
      <c r="F278" s="2">
        <v>158</v>
      </c>
      <c r="G278" s="9">
        <v>0.73</v>
      </c>
      <c r="H278" s="4">
        <v>3.2</v>
      </c>
      <c r="I278" s="4" t="s">
        <v>13</v>
      </c>
      <c r="J278" s="4" t="s">
        <v>728</v>
      </c>
      <c r="K278" s="4" t="s">
        <v>732</v>
      </c>
      <c r="L278" s="4" t="s">
        <v>444</v>
      </c>
      <c r="M278" s="11" t="s">
        <v>949</v>
      </c>
      <c r="Q278" s="4" t="s">
        <v>68</v>
      </c>
      <c r="R278" t="str">
        <f t="shared" si="16"/>
        <v>Fruit</v>
      </c>
      <c r="U278" t="s">
        <v>742</v>
      </c>
      <c r="V278" s="4">
        <v>277</v>
      </c>
      <c r="W278" s="4" t="s">
        <v>510</v>
      </c>
      <c r="X278" s="4" t="str">
        <f t="shared" si="17"/>
        <v>77</v>
      </c>
      <c r="Y278" s="4" t="str">
        <f t="shared" si="18"/>
        <v>277</v>
      </c>
      <c r="Z278" s="4" t="str">
        <f t="shared" si="19"/>
        <v>1754310354</v>
      </c>
    </row>
    <row r="279" spans="1:26" x14ac:dyDescent="0.3">
      <c r="A279" s="4">
        <v>1754310357</v>
      </c>
      <c r="B279" s="4">
        <v>278</v>
      </c>
      <c r="C279" s="4" t="s">
        <v>513</v>
      </c>
      <c r="D279" s="4" t="s">
        <v>896</v>
      </c>
      <c r="E279" s="2">
        <v>299</v>
      </c>
      <c r="F279" s="2">
        <v>145</v>
      </c>
      <c r="G279" s="9">
        <v>0.51</v>
      </c>
      <c r="H279" s="4">
        <v>3.1</v>
      </c>
      <c r="I279" s="4" t="s">
        <v>13</v>
      </c>
      <c r="J279" s="4" t="s">
        <v>728</v>
      </c>
      <c r="K279" s="4" t="s">
        <v>732</v>
      </c>
      <c r="L279" s="4" t="s">
        <v>29</v>
      </c>
      <c r="M279" s="11" t="s">
        <v>949</v>
      </c>
      <c r="Q279" s="4" t="s">
        <v>68</v>
      </c>
      <c r="R279" t="str">
        <f t="shared" si="16"/>
        <v>Fruit</v>
      </c>
      <c r="U279" t="s">
        <v>742</v>
      </c>
      <c r="V279" s="4">
        <v>278</v>
      </c>
      <c r="W279" s="4" t="s">
        <v>512</v>
      </c>
      <c r="X279" s="4" t="str">
        <f t="shared" si="17"/>
        <v>78</v>
      </c>
      <c r="Y279" s="4" t="str">
        <f t="shared" si="18"/>
        <v>278</v>
      </c>
      <c r="Z279" s="4" t="str">
        <f t="shared" si="19"/>
        <v>1754310357</v>
      </c>
    </row>
    <row r="280" spans="1:26" x14ac:dyDescent="0.3">
      <c r="A280" s="4">
        <v>1754310360</v>
      </c>
      <c r="B280" s="4">
        <v>279</v>
      </c>
      <c r="C280" s="4" t="s">
        <v>40</v>
      </c>
      <c r="D280" s="4" t="s">
        <v>752</v>
      </c>
      <c r="E280" s="2">
        <v>495</v>
      </c>
      <c r="F280" s="2">
        <v>331</v>
      </c>
      <c r="G280" s="9">
        <v>0.33</v>
      </c>
      <c r="H280" s="4">
        <v>4.0999999999999996</v>
      </c>
      <c r="I280" s="4" t="s">
        <v>18</v>
      </c>
      <c r="J280" s="4" t="s">
        <v>724</v>
      </c>
      <c r="K280" s="4" t="s">
        <v>733</v>
      </c>
      <c r="L280" s="4" t="s">
        <v>23</v>
      </c>
      <c r="M280" s="11" t="s">
        <v>949</v>
      </c>
      <c r="Q280" s="4" t="s">
        <v>41</v>
      </c>
      <c r="R280" t="str">
        <f t="shared" si="16"/>
        <v>Succulent</v>
      </c>
      <c r="U280" t="s">
        <v>742</v>
      </c>
      <c r="V280" s="4">
        <v>279</v>
      </c>
      <c r="W280" s="4" t="s">
        <v>514</v>
      </c>
      <c r="X280" s="4" t="str">
        <f t="shared" si="17"/>
        <v>79</v>
      </c>
      <c r="Y280" s="4" t="str">
        <f t="shared" si="18"/>
        <v>279</v>
      </c>
      <c r="Z280" s="4" t="str">
        <f t="shared" si="19"/>
        <v>1754310360</v>
      </c>
    </row>
    <row r="281" spans="1:26" x14ac:dyDescent="0.3">
      <c r="A281" s="4">
        <v>1754310362</v>
      </c>
      <c r="B281" s="4">
        <v>280</v>
      </c>
      <c r="C281" s="4" t="s">
        <v>40</v>
      </c>
      <c r="D281" s="4" t="s">
        <v>752</v>
      </c>
      <c r="E281" s="2">
        <v>349</v>
      </c>
      <c r="F281" s="2">
        <v>325</v>
      </c>
      <c r="G281" s="9">
        <v>0.06</v>
      </c>
      <c r="H281" s="4">
        <v>4</v>
      </c>
      <c r="I281" s="4" t="s">
        <v>18</v>
      </c>
      <c r="J281" s="4" t="s">
        <v>724</v>
      </c>
      <c r="K281" s="4" t="s">
        <v>733</v>
      </c>
      <c r="L281" s="4" t="s">
        <v>23</v>
      </c>
      <c r="M281" s="11" t="s">
        <v>949</v>
      </c>
      <c r="Q281" s="4" t="s">
        <v>41</v>
      </c>
      <c r="R281" t="str">
        <f t="shared" si="16"/>
        <v>Succulent</v>
      </c>
      <c r="U281" t="s">
        <v>746</v>
      </c>
      <c r="V281" s="4">
        <v>280</v>
      </c>
      <c r="W281" s="4" t="s">
        <v>515</v>
      </c>
      <c r="X281" s="4" t="str">
        <f t="shared" si="17"/>
        <v>80</v>
      </c>
      <c r="Y281" s="4" t="str">
        <f t="shared" si="18"/>
        <v>280</v>
      </c>
      <c r="Z281" s="4" t="str">
        <f t="shared" si="19"/>
        <v>1754310362</v>
      </c>
    </row>
    <row r="282" spans="1:26" x14ac:dyDescent="0.3">
      <c r="A282" s="4">
        <v>1754310368</v>
      </c>
      <c r="B282" s="4">
        <v>281</v>
      </c>
      <c r="C282" s="4" t="s">
        <v>517</v>
      </c>
      <c r="D282" s="4" t="s">
        <v>897</v>
      </c>
      <c r="E282" s="2">
        <v>199</v>
      </c>
      <c r="F282" s="2">
        <v>159</v>
      </c>
      <c r="G282" s="9">
        <v>0.2</v>
      </c>
      <c r="H282" s="4">
        <v>1.8</v>
      </c>
      <c r="I282" s="4" t="s">
        <v>13</v>
      </c>
      <c r="J282" s="4" t="s">
        <v>726</v>
      </c>
      <c r="K282" s="4" t="s">
        <v>737</v>
      </c>
      <c r="L282" s="4" t="s">
        <v>518</v>
      </c>
      <c r="M282" s="11" t="s">
        <v>949</v>
      </c>
      <c r="Q282" s="4" t="s">
        <v>51</v>
      </c>
      <c r="R282" t="str">
        <f t="shared" si="16"/>
        <v>Foliage</v>
      </c>
      <c r="U282" t="s">
        <v>742</v>
      </c>
      <c r="V282" s="4">
        <v>281</v>
      </c>
      <c r="W282" s="4" t="s">
        <v>516</v>
      </c>
      <c r="X282" s="4" t="str">
        <f t="shared" si="17"/>
        <v>81</v>
      </c>
      <c r="Y282" s="4" t="str">
        <f t="shared" si="18"/>
        <v>281</v>
      </c>
      <c r="Z282" s="4" t="str">
        <f t="shared" si="19"/>
        <v>1754310368</v>
      </c>
    </row>
    <row r="283" spans="1:26" x14ac:dyDescent="0.3">
      <c r="A283" s="4">
        <v>1754310370</v>
      </c>
      <c r="B283" s="4">
        <v>282</v>
      </c>
      <c r="C283" s="4" t="s">
        <v>61</v>
      </c>
      <c r="D283" s="4" t="s">
        <v>758</v>
      </c>
      <c r="E283" s="2">
        <v>599</v>
      </c>
      <c r="F283" s="2">
        <v>380</v>
      </c>
      <c r="G283" s="9">
        <v>0.36</v>
      </c>
      <c r="H283" s="4">
        <v>3.4</v>
      </c>
      <c r="I283" s="4" t="s">
        <v>18</v>
      </c>
      <c r="J283" s="4" t="s">
        <v>723</v>
      </c>
      <c r="K283" s="4" t="s">
        <v>732</v>
      </c>
      <c r="L283" s="4" t="s">
        <v>35</v>
      </c>
      <c r="M283" s="11" t="s">
        <v>949</v>
      </c>
      <c r="Q283" s="4" t="s">
        <v>28</v>
      </c>
      <c r="R283" t="str">
        <f t="shared" si="16"/>
        <v>Herb</v>
      </c>
      <c r="U283" t="s">
        <v>742</v>
      </c>
      <c r="V283" s="4">
        <v>282</v>
      </c>
      <c r="W283" s="4" t="s">
        <v>519</v>
      </c>
      <c r="X283" s="4" t="str">
        <f t="shared" si="17"/>
        <v>82</v>
      </c>
      <c r="Y283" s="4" t="str">
        <f t="shared" si="18"/>
        <v>282</v>
      </c>
      <c r="Z283" s="4" t="str">
        <f t="shared" si="19"/>
        <v>1754310370</v>
      </c>
    </row>
    <row r="284" spans="1:26" x14ac:dyDescent="0.3">
      <c r="A284" s="4">
        <v>1754310373</v>
      </c>
      <c r="B284" s="4">
        <v>283</v>
      </c>
      <c r="C284" s="4" t="s">
        <v>521</v>
      </c>
      <c r="D284" s="4" t="s">
        <v>898</v>
      </c>
      <c r="E284" s="2">
        <v>491</v>
      </c>
      <c r="F284" s="2">
        <v>167</v>
      </c>
      <c r="G284" s="9">
        <v>0.65</v>
      </c>
      <c r="H284" s="4">
        <v>4.5</v>
      </c>
      <c r="I284" s="4" t="s">
        <v>18</v>
      </c>
      <c r="J284" s="4" t="s">
        <v>729</v>
      </c>
      <c r="K284" s="4" t="s">
        <v>732</v>
      </c>
      <c r="L284" s="4" t="s">
        <v>522</v>
      </c>
      <c r="M284" s="11" t="s">
        <v>949</v>
      </c>
      <c r="Q284" s="4" t="s">
        <v>177</v>
      </c>
      <c r="R284" t="str">
        <f t="shared" si="16"/>
        <v>Flower</v>
      </c>
      <c r="U284" t="s">
        <v>742</v>
      </c>
      <c r="V284" s="4">
        <v>283</v>
      </c>
      <c r="W284" s="4" t="s">
        <v>520</v>
      </c>
      <c r="X284" s="4" t="str">
        <f t="shared" si="17"/>
        <v>83</v>
      </c>
      <c r="Y284" s="4" t="str">
        <f t="shared" si="18"/>
        <v>283</v>
      </c>
      <c r="Z284" s="4" t="str">
        <f t="shared" si="19"/>
        <v>1754310373</v>
      </c>
    </row>
    <row r="285" spans="1:26" x14ac:dyDescent="0.3">
      <c r="A285" s="4">
        <v>1754310375</v>
      </c>
      <c r="B285" s="4">
        <v>284</v>
      </c>
      <c r="C285" s="4" t="s">
        <v>25</v>
      </c>
      <c r="D285" s="4" t="s">
        <v>747</v>
      </c>
      <c r="E285" s="2">
        <v>449</v>
      </c>
      <c r="F285" s="2">
        <v>349</v>
      </c>
      <c r="G285" s="9">
        <v>0.22</v>
      </c>
      <c r="H285" s="4">
        <v>4.3</v>
      </c>
      <c r="I285" s="4" t="s">
        <v>18</v>
      </c>
      <c r="J285" s="4" t="s">
        <v>722</v>
      </c>
      <c r="K285" s="4" t="s">
        <v>733</v>
      </c>
      <c r="L285" s="4" t="s">
        <v>23</v>
      </c>
      <c r="M285" s="11" t="s">
        <v>949</v>
      </c>
      <c r="Q285" s="4" t="s">
        <v>22</v>
      </c>
      <c r="R285" t="str">
        <f t="shared" si="16"/>
        <v>Shrub</v>
      </c>
      <c r="U285" t="s">
        <v>746</v>
      </c>
      <c r="V285" s="4">
        <v>284</v>
      </c>
      <c r="W285" s="4" t="s">
        <v>523</v>
      </c>
      <c r="X285" s="4" t="str">
        <f t="shared" si="17"/>
        <v>84</v>
      </c>
      <c r="Y285" s="4" t="str">
        <f t="shared" si="18"/>
        <v>284</v>
      </c>
      <c r="Z285" s="4" t="str">
        <f t="shared" si="19"/>
        <v>1754310375</v>
      </c>
    </row>
    <row r="286" spans="1:26" x14ac:dyDescent="0.3">
      <c r="A286" s="4">
        <v>1754310378</v>
      </c>
      <c r="B286" s="4">
        <v>285</v>
      </c>
      <c r="C286" s="4" t="s">
        <v>27</v>
      </c>
      <c r="D286" s="4" t="s">
        <v>748</v>
      </c>
      <c r="E286" s="2">
        <v>945</v>
      </c>
      <c r="F286" s="2">
        <v>130</v>
      </c>
      <c r="G286" s="9">
        <v>0.86</v>
      </c>
      <c r="H286" s="4">
        <v>3.4</v>
      </c>
      <c r="I286" s="4" t="s">
        <v>18</v>
      </c>
      <c r="J286" s="4" t="s">
        <v>723</v>
      </c>
      <c r="K286" s="4" t="s">
        <v>732</v>
      </c>
      <c r="L286" s="4" t="s">
        <v>230</v>
      </c>
      <c r="M286" s="11" t="s">
        <v>949</v>
      </c>
      <c r="Q286" s="4" t="s">
        <v>28</v>
      </c>
      <c r="R286" t="str">
        <f t="shared" si="16"/>
        <v>Herb</v>
      </c>
      <c r="U286" t="s">
        <v>742</v>
      </c>
      <c r="V286" s="4">
        <v>285</v>
      </c>
      <c r="W286" s="4" t="s">
        <v>524</v>
      </c>
      <c r="X286" s="4" t="str">
        <f t="shared" si="17"/>
        <v>85</v>
      </c>
      <c r="Y286" s="4" t="str">
        <f t="shared" si="18"/>
        <v>285</v>
      </c>
      <c r="Z286" s="4" t="str">
        <f t="shared" si="19"/>
        <v>1754310378</v>
      </c>
    </row>
    <row r="287" spans="1:26" x14ac:dyDescent="0.3">
      <c r="A287" s="4">
        <v>1754310380</v>
      </c>
      <c r="B287" s="4">
        <v>286</v>
      </c>
      <c r="C287" s="4" t="s">
        <v>526</v>
      </c>
      <c r="D287" s="4" t="s">
        <v>899</v>
      </c>
      <c r="E287" s="2">
        <v>499</v>
      </c>
      <c r="F287" s="2">
        <v>426</v>
      </c>
      <c r="G287" s="9">
        <v>0.14000000000000001</v>
      </c>
      <c r="H287" s="4">
        <v>4.3</v>
      </c>
      <c r="I287" s="4" t="s">
        <v>18</v>
      </c>
      <c r="J287" s="4" t="s">
        <v>727</v>
      </c>
      <c r="K287" s="4" t="s">
        <v>733</v>
      </c>
      <c r="L287" s="4" t="s">
        <v>23</v>
      </c>
      <c r="M287" s="11" t="s">
        <v>949</v>
      </c>
      <c r="Q287" s="4" t="s">
        <v>56</v>
      </c>
      <c r="R287" t="str">
        <f t="shared" si="16"/>
        <v>Bamboo</v>
      </c>
      <c r="U287" t="s">
        <v>746</v>
      </c>
      <c r="V287" s="4">
        <v>286</v>
      </c>
      <c r="W287" s="4" t="s">
        <v>525</v>
      </c>
      <c r="X287" s="4" t="str">
        <f t="shared" si="17"/>
        <v>86</v>
      </c>
      <c r="Y287" s="4" t="str">
        <f t="shared" si="18"/>
        <v>286</v>
      </c>
      <c r="Z287" s="4" t="str">
        <f t="shared" si="19"/>
        <v>1754310380</v>
      </c>
    </row>
    <row r="288" spans="1:26" x14ac:dyDescent="0.3">
      <c r="A288" s="4">
        <v>1754310383</v>
      </c>
      <c r="B288" s="4">
        <v>287</v>
      </c>
      <c r="C288" s="4" t="s">
        <v>528</v>
      </c>
      <c r="D288" s="4" t="s">
        <v>900</v>
      </c>
      <c r="E288" s="2">
        <v>499</v>
      </c>
      <c r="F288" s="2">
        <v>147</v>
      </c>
      <c r="G288" s="9">
        <v>0.7</v>
      </c>
      <c r="H288" s="4">
        <v>3.3</v>
      </c>
      <c r="I288" s="4" t="s">
        <v>13</v>
      </c>
      <c r="J288" s="4" t="s">
        <v>728</v>
      </c>
      <c r="K288" s="4" t="s">
        <v>732</v>
      </c>
      <c r="L288" s="4" t="s">
        <v>44</v>
      </c>
      <c r="M288" s="11" t="s">
        <v>949</v>
      </c>
      <c r="Q288" s="4" t="s">
        <v>68</v>
      </c>
      <c r="R288" t="str">
        <f t="shared" si="16"/>
        <v>Fruit</v>
      </c>
      <c r="U288" t="s">
        <v>742</v>
      </c>
      <c r="V288" s="4">
        <v>287</v>
      </c>
      <c r="W288" s="4" t="s">
        <v>527</v>
      </c>
      <c r="X288" s="4" t="str">
        <f t="shared" si="17"/>
        <v>87</v>
      </c>
      <c r="Y288" s="4" t="str">
        <f t="shared" si="18"/>
        <v>287</v>
      </c>
      <c r="Z288" s="4" t="str">
        <f t="shared" si="19"/>
        <v>1754310383</v>
      </c>
    </row>
    <row r="289" spans="1:26" x14ac:dyDescent="0.3">
      <c r="A289" s="4">
        <v>1754310386</v>
      </c>
      <c r="B289" s="4">
        <v>288</v>
      </c>
      <c r="C289" s="4" t="s">
        <v>530</v>
      </c>
      <c r="D289" s="4" t="s">
        <v>901</v>
      </c>
      <c r="E289" s="2">
        <v>299</v>
      </c>
      <c r="F289" s="2">
        <v>150</v>
      </c>
      <c r="G289" s="9">
        <v>0.49</v>
      </c>
      <c r="H289" s="4">
        <v>3.4</v>
      </c>
      <c r="I289" s="4" t="s">
        <v>18</v>
      </c>
      <c r="J289" s="4" t="s">
        <v>728</v>
      </c>
      <c r="K289" s="4" t="s">
        <v>732</v>
      </c>
      <c r="L289" s="4" t="s">
        <v>44</v>
      </c>
      <c r="M289" s="11" t="s">
        <v>949</v>
      </c>
      <c r="Q289" s="4" t="s">
        <v>68</v>
      </c>
      <c r="R289" t="str">
        <f t="shared" si="16"/>
        <v>Fruit</v>
      </c>
      <c r="U289" t="s">
        <v>742</v>
      </c>
      <c r="V289" s="4">
        <v>288</v>
      </c>
      <c r="W289" s="4" t="s">
        <v>529</v>
      </c>
      <c r="X289" s="4" t="str">
        <f t="shared" si="17"/>
        <v>88</v>
      </c>
      <c r="Y289" s="4" t="str">
        <f t="shared" si="18"/>
        <v>288</v>
      </c>
      <c r="Z289" s="4" t="str">
        <f t="shared" si="19"/>
        <v>1754310386</v>
      </c>
    </row>
    <row r="290" spans="1:26" x14ac:dyDescent="0.3">
      <c r="A290" s="4">
        <v>1754310388</v>
      </c>
      <c r="B290" s="4">
        <v>289</v>
      </c>
      <c r="C290" s="4" t="s">
        <v>21</v>
      </c>
      <c r="D290" s="4" t="s">
        <v>745</v>
      </c>
      <c r="E290" s="2">
        <v>449</v>
      </c>
      <c r="F290" s="2">
        <v>384</v>
      </c>
      <c r="G290" s="9">
        <v>0.14000000000000001</v>
      </c>
      <c r="H290" s="4">
        <v>4.4000000000000004</v>
      </c>
      <c r="I290" s="4" t="s">
        <v>18</v>
      </c>
      <c r="J290" s="4" t="s">
        <v>722</v>
      </c>
      <c r="K290" s="4" t="s">
        <v>733</v>
      </c>
      <c r="L290" s="4" t="s">
        <v>23</v>
      </c>
      <c r="M290" s="11" t="s">
        <v>949</v>
      </c>
      <c r="Q290" s="4" t="s">
        <v>22</v>
      </c>
      <c r="R290" t="str">
        <f t="shared" si="16"/>
        <v>Shrub</v>
      </c>
      <c r="U290" t="s">
        <v>746</v>
      </c>
      <c r="V290" s="4">
        <v>289</v>
      </c>
      <c r="W290" s="4" t="s">
        <v>531</v>
      </c>
      <c r="X290" s="4" t="str">
        <f t="shared" si="17"/>
        <v>89</v>
      </c>
      <c r="Y290" s="4" t="str">
        <f t="shared" si="18"/>
        <v>289</v>
      </c>
      <c r="Z290" s="4" t="str">
        <f t="shared" si="19"/>
        <v>1754310388</v>
      </c>
    </row>
    <row r="291" spans="1:26" x14ac:dyDescent="0.3">
      <c r="A291" s="4">
        <v>1754310391</v>
      </c>
      <c r="B291" s="4">
        <v>290</v>
      </c>
      <c r="C291" s="4" t="s">
        <v>40</v>
      </c>
      <c r="D291" s="4" t="s">
        <v>752</v>
      </c>
      <c r="E291" s="2">
        <v>499</v>
      </c>
      <c r="F291" s="2">
        <v>335</v>
      </c>
      <c r="G291" s="9">
        <v>0.32</v>
      </c>
      <c r="H291" s="4">
        <v>4</v>
      </c>
      <c r="I291" s="4" t="s">
        <v>18</v>
      </c>
      <c r="J291" s="4" t="s">
        <v>724</v>
      </c>
      <c r="K291" s="4" t="s">
        <v>733</v>
      </c>
      <c r="L291" s="4" t="s">
        <v>23</v>
      </c>
      <c r="M291" s="11" t="s">
        <v>949</v>
      </c>
      <c r="Q291" s="4" t="s">
        <v>41</v>
      </c>
      <c r="R291" t="str">
        <f t="shared" si="16"/>
        <v>Succulent</v>
      </c>
      <c r="U291" t="s">
        <v>742</v>
      </c>
      <c r="V291" s="4">
        <v>290</v>
      </c>
      <c r="W291" s="4" t="s">
        <v>532</v>
      </c>
      <c r="X291" s="4" t="str">
        <f t="shared" si="17"/>
        <v>90</v>
      </c>
      <c r="Y291" s="4" t="str">
        <f t="shared" si="18"/>
        <v>290</v>
      </c>
      <c r="Z291" s="4" t="str">
        <f t="shared" si="19"/>
        <v>1754310391</v>
      </c>
    </row>
    <row r="292" spans="1:26" x14ac:dyDescent="0.3">
      <c r="A292" s="4">
        <v>1754310393</v>
      </c>
      <c r="B292" s="4">
        <v>291</v>
      </c>
      <c r="C292" s="4" t="s">
        <v>534</v>
      </c>
      <c r="D292" s="4" t="s">
        <v>902</v>
      </c>
      <c r="E292" s="2">
        <v>499</v>
      </c>
      <c r="F292" s="2">
        <v>165</v>
      </c>
      <c r="G292" s="9">
        <v>0.66</v>
      </c>
      <c r="H292" s="4">
        <v>4</v>
      </c>
      <c r="I292" s="4" t="s">
        <v>18</v>
      </c>
      <c r="J292" s="4" t="s">
        <v>722</v>
      </c>
      <c r="K292" s="4" t="s">
        <v>737</v>
      </c>
      <c r="L292" s="4" t="s">
        <v>312</v>
      </c>
      <c r="M292" s="11" t="s">
        <v>949</v>
      </c>
      <c r="Q292" s="4" t="s">
        <v>22</v>
      </c>
      <c r="R292" t="str">
        <f t="shared" si="16"/>
        <v>Shrub</v>
      </c>
      <c r="U292" t="s">
        <v>744</v>
      </c>
      <c r="V292" s="4">
        <v>291</v>
      </c>
      <c r="W292" s="4" t="s">
        <v>533</v>
      </c>
      <c r="X292" s="4" t="str">
        <f t="shared" si="17"/>
        <v>91</v>
      </c>
      <c r="Y292" s="4" t="str">
        <f t="shared" si="18"/>
        <v>291</v>
      </c>
      <c r="Z292" s="4" t="str">
        <f t="shared" si="19"/>
        <v>1754310393</v>
      </c>
    </row>
    <row r="293" spans="1:26" x14ac:dyDescent="0.3">
      <c r="A293" s="4">
        <v>1754310396</v>
      </c>
      <c r="B293" s="4">
        <v>292</v>
      </c>
      <c r="C293" s="4" t="s">
        <v>536</v>
      </c>
      <c r="D293" s="4" t="s">
        <v>903</v>
      </c>
      <c r="E293" s="2">
        <v>399</v>
      </c>
      <c r="F293" s="2">
        <v>150</v>
      </c>
      <c r="G293" s="9">
        <v>0.62</v>
      </c>
      <c r="H293" s="4">
        <v>4</v>
      </c>
      <c r="I293" s="4" t="s">
        <v>13</v>
      </c>
      <c r="J293" s="4" t="s">
        <v>728</v>
      </c>
      <c r="K293" s="4" t="s">
        <v>737</v>
      </c>
      <c r="L293" s="4" t="s">
        <v>121</v>
      </c>
      <c r="M293" s="11" t="s">
        <v>949</v>
      </c>
      <c r="Q293" s="4" t="s">
        <v>68</v>
      </c>
      <c r="R293" t="str">
        <f t="shared" si="16"/>
        <v>Fruit</v>
      </c>
      <c r="U293" t="s">
        <v>744</v>
      </c>
      <c r="V293" s="4">
        <v>292</v>
      </c>
      <c r="W293" s="4" t="s">
        <v>535</v>
      </c>
      <c r="X293" s="4" t="str">
        <f t="shared" si="17"/>
        <v>92</v>
      </c>
      <c r="Y293" s="4" t="str">
        <f t="shared" si="18"/>
        <v>292</v>
      </c>
      <c r="Z293" s="4" t="str">
        <f t="shared" si="19"/>
        <v>1754310396</v>
      </c>
    </row>
    <row r="294" spans="1:26" x14ac:dyDescent="0.3">
      <c r="A294" s="4">
        <v>1754310398</v>
      </c>
      <c r="B294" s="4">
        <v>293</v>
      </c>
      <c r="C294" s="4" t="s">
        <v>40</v>
      </c>
      <c r="D294" s="4" t="s">
        <v>752</v>
      </c>
      <c r="E294" s="2">
        <v>749</v>
      </c>
      <c r="F294" s="2">
        <v>516</v>
      </c>
      <c r="G294" s="9">
        <v>0.31</v>
      </c>
      <c r="H294" s="4">
        <v>3.6</v>
      </c>
      <c r="I294" s="4" t="s">
        <v>18</v>
      </c>
      <c r="J294" s="4" t="s">
        <v>724</v>
      </c>
      <c r="K294" s="4" t="s">
        <v>733</v>
      </c>
      <c r="L294" s="4" t="s">
        <v>23</v>
      </c>
      <c r="M294" s="11" t="s">
        <v>949</v>
      </c>
      <c r="Q294" s="4" t="s">
        <v>41</v>
      </c>
      <c r="R294" t="str">
        <f t="shared" si="16"/>
        <v>Succulent</v>
      </c>
      <c r="U294" t="s">
        <v>742</v>
      </c>
      <c r="V294" s="4">
        <v>293</v>
      </c>
      <c r="W294" s="4" t="s">
        <v>537</v>
      </c>
      <c r="X294" s="4" t="str">
        <f t="shared" si="17"/>
        <v>93</v>
      </c>
      <c r="Y294" s="4" t="str">
        <f t="shared" si="18"/>
        <v>293</v>
      </c>
      <c r="Z294" s="4" t="str">
        <f t="shared" si="19"/>
        <v>1754310398</v>
      </c>
    </row>
    <row r="295" spans="1:26" x14ac:dyDescent="0.3">
      <c r="A295" s="4">
        <v>1754310401</v>
      </c>
      <c r="B295" s="4">
        <v>294</v>
      </c>
      <c r="C295" s="4" t="s">
        <v>50</v>
      </c>
      <c r="D295" s="4" t="s">
        <v>755</v>
      </c>
      <c r="E295" s="2">
        <v>549</v>
      </c>
      <c r="F295" s="2">
        <v>388</v>
      </c>
      <c r="G295" s="9">
        <v>0.28999999999999998</v>
      </c>
      <c r="H295" s="4">
        <v>4.3</v>
      </c>
      <c r="I295" s="4" t="s">
        <v>18</v>
      </c>
      <c r="J295" s="4" t="s">
        <v>726</v>
      </c>
      <c r="K295" s="4" t="s">
        <v>733</v>
      </c>
      <c r="L295" s="4" t="s">
        <v>23</v>
      </c>
      <c r="M295" s="11" t="s">
        <v>949</v>
      </c>
      <c r="Q295" s="4" t="s">
        <v>51</v>
      </c>
      <c r="R295" t="str">
        <f t="shared" si="16"/>
        <v>Foliage</v>
      </c>
      <c r="U295" t="s">
        <v>742</v>
      </c>
      <c r="V295" s="4">
        <v>294</v>
      </c>
      <c r="W295" s="4" t="s">
        <v>538</v>
      </c>
      <c r="X295" s="4" t="str">
        <f t="shared" si="17"/>
        <v>94</v>
      </c>
      <c r="Y295" s="4" t="str">
        <f t="shared" si="18"/>
        <v>294</v>
      </c>
      <c r="Z295" s="4" t="str">
        <f t="shared" si="19"/>
        <v>1754310401</v>
      </c>
    </row>
    <row r="296" spans="1:26" x14ac:dyDescent="0.3">
      <c r="A296" s="4">
        <v>1754310403</v>
      </c>
      <c r="B296" s="4">
        <v>295</v>
      </c>
      <c r="C296" s="4" t="s">
        <v>528</v>
      </c>
      <c r="D296" s="4" t="s">
        <v>900</v>
      </c>
      <c r="E296" s="2">
        <v>499</v>
      </c>
      <c r="F296" s="2">
        <v>169</v>
      </c>
      <c r="G296" s="9">
        <v>0.66</v>
      </c>
      <c r="H296" s="4">
        <v>4</v>
      </c>
      <c r="I296" s="4" t="s">
        <v>13</v>
      </c>
      <c r="J296" s="4" t="s">
        <v>728</v>
      </c>
      <c r="K296" s="4" t="s">
        <v>737</v>
      </c>
      <c r="L296" s="4" t="s">
        <v>121</v>
      </c>
      <c r="M296" s="11" t="s">
        <v>949</v>
      </c>
      <c r="Q296" s="4" t="s">
        <v>68</v>
      </c>
      <c r="R296" t="str">
        <f t="shared" si="16"/>
        <v>Fruit</v>
      </c>
      <c r="U296" t="s">
        <v>839</v>
      </c>
      <c r="V296" s="4">
        <v>295</v>
      </c>
      <c r="W296" s="4" t="s">
        <v>539</v>
      </c>
      <c r="X296" s="4" t="str">
        <f t="shared" si="17"/>
        <v>95</v>
      </c>
      <c r="Y296" s="4" t="str">
        <f t="shared" si="18"/>
        <v>295</v>
      </c>
      <c r="Z296" s="4" t="str">
        <f t="shared" si="19"/>
        <v>1754310403</v>
      </c>
    </row>
    <row r="297" spans="1:26" x14ac:dyDescent="0.3">
      <c r="A297" s="4">
        <v>1754310406</v>
      </c>
      <c r="B297" s="4">
        <v>296</v>
      </c>
      <c r="C297" s="4" t="s">
        <v>541</v>
      </c>
      <c r="D297" s="4" t="s">
        <v>904</v>
      </c>
      <c r="E297" s="2">
        <v>499</v>
      </c>
      <c r="F297" s="2">
        <v>160</v>
      </c>
      <c r="G297" s="9">
        <v>0.67</v>
      </c>
      <c r="H297" s="4">
        <v>4</v>
      </c>
      <c r="I297" s="4" t="s">
        <v>13</v>
      </c>
      <c r="J297" s="4" t="s">
        <v>729</v>
      </c>
      <c r="K297" s="4" t="s">
        <v>732</v>
      </c>
      <c r="L297" s="4" t="s">
        <v>29</v>
      </c>
      <c r="M297" s="11" t="s">
        <v>949</v>
      </c>
      <c r="Q297" s="4" t="s">
        <v>177</v>
      </c>
      <c r="R297" t="str">
        <f t="shared" si="16"/>
        <v>Flower</v>
      </c>
      <c r="U297" t="s">
        <v>839</v>
      </c>
      <c r="V297" s="4">
        <v>296</v>
      </c>
      <c r="W297" s="4" t="s">
        <v>540</v>
      </c>
      <c r="X297" s="4" t="str">
        <f t="shared" si="17"/>
        <v>96</v>
      </c>
      <c r="Y297" s="4" t="str">
        <f t="shared" si="18"/>
        <v>296</v>
      </c>
      <c r="Z297" s="4" t="str">
        <f t="shared" si="19"/>
        <v>1754310406</v>
      </c>
    </row>
    <row r="298" spans="1:26" x14ac:dyDescent="0.3">
      <c r="A298" s="4">
        <v>1754310408</v>
      </c>
      <c r="B298" s="4">
        <v>297</v>
      </c>
      <c r="C298" s="4" t="s">
        <v>543</v>
      </c>
      <c r="D298" s="4" t="s">
        <v>905</v>
      </c>
      <c r="E298" s="2">
        <v>249</v>
      </c>
      <c r="F298" s="2">
        <v>145</v>
      </c>
      <c r="G298" s="9">
        <v>0.41</v>
      </c>
      <c r="H298" s="4">
        <v>3.7</v>
      </c>
      <c r="I298" s="4" t="s">
        <v>13</v>
      </c>
      <c r="J298" s="4" t="s">
        <v>728</v>
      </c>
      <c r="K298" s="4" t="s">
        <v>732</v>
      </c>
      <c r="L298" s="4" t="s">
        <v>29</v>
      </c>
      <c r="M298" s="11" t="s">
        <v>949</v>
      </c>
      <c r="Q298" s="4" t="s">
        <v>68</v>
      </c>
      <c r="R298" t="str">
        <f t="shared" si="16"/>
        <v>Fruit</v>
      </c>
      <c r="U298" t="s">
        <v>742</v>
      </c>
      <c r="V298" s="4">
        <v>297</v>
      </c>
      <c r="W298" s="4" t="s">
        <v>542</v>
      </c>
      <c r="X298" s="4" t="str">
        <f t="shared" si="17"/>
        <v>97</v>
      </c>
      <c r="Y298" s="4" t="str">
        <f t="shared" si="18"/>
        <v>297</v>
      </c>
      <c r="Z298" s="4" t="str">
        <f t="shared" si="19"/>
        <v>1754310408</v>
      </c>
    </row>
    <row r="299" spans="1:26" x14ac:dyDescent="0.3">
      <c r="A299" s="4">
        <v>1754310411</v>
      </c>
      <c r="B299" s="4">
        <v>298</v>
      </c>
      <c r="C299" s="4" t="s">
        <v>545</v>
      </c>
      <c r="D299" s="4" t="s">
        <v>906</v>
      </c>
      <c r="E299" s="2">
        <v>299</v>
      </c>
      <c r="F299" s="2">
        <v>167</v>
      </c>
      <c r="G299" s="9">
        <v>0.44</v>
      </c>
      <c r="H299" s="4">
        <v>2.1</v>
      </c>
      <c r="I299" s="4" t="s">
        <v>18</v>
      </c>
      <c r="J299" s="4" t="s">
        <v>730</v>
      </c>
      <c r="K299" s="4" t="s">
        <v>733</v>
      </c>
      <c r="L299" s="4" t="s">
        <v>29</v>
      </c>
      <c r="M299" s="11" t="s">
        <v>949</v>
      </c>
      <c r="Q299" s="4" t="s">
        <v>180</v>
      </c>
      <c r="R299" t="str">
        <f t="shared" si="16"/>
        <v>Tree</v>
      </c>
      <c r="U299" t="s">
        <v>862</v>
      </c>
      <c r="V299" s="4">
        <v>298</v>
      </c>
      <c r="W299" s="4" t="s">
        <v>544</v>
      </c>
      <c r="X299" s="4" t="str">
        <f t="shared" si="17"/>
        <v>98</v>
      </c>
      <c r="Y299" s="4" t="str">
        <f t="shared" si="18"/>
        <v>298</v>
      </c>
      <c r="Z299" s="4" t="str">
        <f t="shared" si="19"/>
        <v>1754310411</v>
      </c>
    </row>
    <row r="300" spans="1:26" x14ac:dyDescent="0.3">
      <c r="A300" s="4">
        <v>1754310413</v>
      </c>
      <c r="B300" s="4">
        <v>299</v>
      </c>
      <c r="C300" s="4" t="s">
        <v>25</v>
      </c>
      <c r="D300" s="4" t="s">
        <v>747</v>
      </c>
      <c r="E300" s="2">
        <v>449</v>
      </c>
      <c r="F300" s="2">
        <v>349</v>
      </c>
      <c r="G300" s="9">
        <v>0.22</v>
      </c>
      <c r="H300" s="4">
        <v>4.3</v>
      </c>
      <c r="I300" s="4" t="s">
        <v>18</v>
      </c>
      <c r="J300" s="4" t="s">
        <v>722</v>
      </c>
      <c r="K300" s="4" t="s">
        <v>733</v>
      </c>
      <c r="L300" s="4" t="s">
        <v>23</v>
      </c>
      <c r="M300" s="11" t="s">
        <v>949</v>
      </c>
      <c r="Q300" s="4" t="s">
        <v>22</v>
      </c>
      <c r="R300" t="str">
        <f t="shared" si="16"/>
        <v>Shrub</v>
      </c>
      <c r="U300" t="s">
        <v>746</v>
      </c>
      <c r="V300" s="4">
        <v>299</v>
      </c>
      <c r="W300" s="4" t="s">
        <v>546</v>
      </c>
      <c r="X300" s="4" t="str">
        <f t="shared" si="17"/>
        <v>99</v>
      </c>
      <c r="Y300" s="4" t="str">
        <f t="shared" si="18"/>
        <v>299</v>
      </c>
      <c r="Z300" s="4" t="str">
        <f t="shared" si="19"/>
        <v>1754310413</v>
      </c>
    </row>
    <row r="301" spans="1:26" x14ac:dyDescent="0.3">
      <c r="A301" s="4">
        <v>1754310416</v>
      </c>
      <c r="B301" s="4">
        <v>300</v>
      </c>
      <c r="C301" s="4" t="s">
        <v>25</v>
      </c>
      <c r="D301" s="4" t="s">
        <v>747</v>
      </c>
      <c r="E301" s="2">
        <v>449</v>
      </c>
      <c r="F301" s="2">
        <v>349</v>
      </c>
      <c r="G301" s="9">
        <v>0.22</v>
      </c>
      <c r="H301" s="4">
        <v>4.3</v>
      </c>
      <c r="I301" s="4" t="s">
        <v>18</v>
      </c>
      <c r="J301" s="4" t="s">
        <v>722</v>
      </c>
      <c r="K301" s="4" t="s">
        <v>733</v>
      </c>
      <c r="L301" s="4" t="s">
        <v>23</v>
      </c>
      <c r="M301" s="11" t="s">
        <v>949</v>
      </c>
      <c r="Q301" s="4" t="s">
        <v>22</v>
      </c>
      <c r="R301" t="str">
        <f t="shared" si="16"/>
        <v>Shrub</v>
      </c>
      <c r="U301" t="s">
        <v>746</v>
      </c>
      <c r="V301" s="4">
        <v>300</v>
      </c>
      <c r="W301" s="4" t="s">
        <v>547</v>
      </c>
      <c r="X301" s="4" t="str">
        <f t="shared" si="17"/>
        <v>00</v>
      </c>
      <c r="Y301" s="4" t="str">
        <f t="shared" si="18"/>
        <v>300</v>
      </c>
      <c r="Z301" s="4" t="str">
        <f t="shared" si="19"/>
        <v>1754310416</v>
      </c>
    </row>
    <row r="302" spans="1:26" x14ac:dyDescent="0.3">
      <c r="A302" s="4">
        <v>1754310418</v>
      </c>
      <c r="B302" s="4">
        <v>301</v>
      </c>
      <c r="C302" s="4" t="s">
        <v>59</v>
      </c>
      <c r="D302" s="4" t="s">
        <v>757</v>
      </c>
      <c r="E302" s="2">
        <v>399</v>
      </c>
      <c r="F302" s="2">
        <v>145</v>
      </c>
      <c r="G302" s="9">
        <v>0.63</v>
      </c>
      <c r="H302" s="4">
        <v>3.3</v>
      </c>
      <c r="I302" s="4" t="s">
        <v>13</v>
      </c>
      <c r="J302" s="4" t="s">
        <v>723</v>
      </c>
      <c r="K302" s="4" t="s">
        <v>732</v>
      </c>
      <c r="L302" s="4" t="s">
        <v>121</v>
      </c>
      <c r="M302" s="11" t="s">
        <v>949</v>
      </c>
      <c r="Q302" s="4" t="s">
        <v>28</v>
      </c>
      <c r="R302" t="str">
        <f t="shared" si="16"/>
        <v>Herb</v>
      </c>
      <c r="U302" t="s">
        <v>742</v>
      </c>
      <c r="V302" s="4">
        <v>301</v>
      </c>
      <c r="W302" s="4" t="s">
        <v>548</v>
      </c>
      <c r="X302" s="4" t="str">
        <f t="shared" si="17"/>
        <v>01</v>
      </c>
      <c r="Y302" s="4" t="str">
        <f t="shared" si="18"/>
        <v>301</v>
      </c>
      <c r="Z302" s="4" t="str">
        <f t="shared" si="19"/>
        <v>1754310418</v>
      </c>
    </row>
    <row r="303" spans="1:26" x14ac:dyDescent="0.3">
      <c r="A303" s="4">
        <v>1754310421</v>
      </c>
      <c r="B303" s="4">
        <v>302</v>
      </c>
      <c r="C303" s="4" t="s">
        <v>59</v>
      </c>
      <c r="D303" s="4" t="s">
        <v>757</v>
      </c>
      <c r="E303" s="2">
        <v>249</v>
      </c>
      <c r="F303" s="2">
        <v>145</v>
      </c>
      <c r="G303" s="9">
        <v>0.41</v>
      </c>
      <c r="H303" s="4">
        <v>3.3</v>
      </c>
      <c r="I303" s="4" t="s">
        <v>13</v>
      </c>
      <c r="J303" s="4" t="s">
        <v>723</v>
      </c>
      <c r="K303" s="4" t="s">
        <v>732</v>
      </c>
      <c r="L303" s="4" t="s">
        <v>29</v>
      </c>
      <c r="M303" s="11" t="s">
        <v>949</v>
      </c>
      <c r="Q303" s="4" t="s">
        <v>28</v>
      </c>
      <c r="R303" t="str">
        <f t="shared" si="16"/>
        <v>Herb</v>
      </c>
      <c r="U303" t="s">
        <v>742</v>
      </c>
      <c r="V303" s="4">
        <v>302</v>
      </c>
      <c r="W303" s="4" t="s">
        <v>549</v>
      </c>
      <c r="X303" s="4" t="str">
        <f t="shared" si="17"/>
        <v>02</v>
      </c>
      <c r="Y303" s="4" t="str">
        <f t="shared" si="18"/>
        <v>302</v>
      </c>
      <c r="Z303" s="4" t="str">
        <f t="shared" si="19"/>
        <v>1754310421</v>
      </c>
    </row>
    <row r="304" spans="1:26" x14ac:dyDescent="0.3">
      <c r="A304" s="4">
        <v>1754310424</v>
      </c>
      <c r="B304" s="4">
        <v>303</v>
      </c>
      <c r="C304" s="4" t="s">
        <v>40</v>
      </c>
      <c r="D304" s="4" t="s">
        <v>752</v>
      </c>
      <c r="E304" s="2">
        <v>499</v>
      </c>
      <c r="F304" s="2">
        <v>424</v>
      </c>
      <c r="G304" s="9">
        <v>0.15</v>
      </c>
      <c r="H304" s="4">
        <v>4.3</v>
      </c>
      <c r="I304" s="4" t="s">
        <v>18</v>
      </c>
      <c r="J304" s="4" t="s">
        <v>724</v>
      </c>
      <c r="K304" s="4" t="s">
        <v>733</v>
      </c>
      <c r="L304" s="4" t="s">
        <v>23</v>
      </c>
      <c r="M304" s="11" t="s">
        <v>949</v>
      </c>
      <c r="Q304" s="4" t="s">
        <v>41</v>
      </c>
      <c r="R304" t="str">
        <f t="shared" si="16"/>
        <v>Succulent</v>
      </c>
      <c r="U304" t="s">
        <v>742</v>
      </c>
      <c r="V304" s="4">
        <v>303</v>
      </c>
      <c r="W304" s="4" t="s">
        <v>550</v>
      </c>
      <c r="X304" s="4" t="str">
        <f t="shared" si="17"/>
        <v>03</v>
      </c>
      <c r="Y304" s="4" t="str">
        <f t="shared" si="18"/>
        <v>303</v>
      </c>
      <c r="Z304" s="4" t="str">
        <f t="shared" si="19"/>
        <v>1754310424</v>
      </c>
    </row>
    <row r="305" spans="1:26" x14ac:dyDescent="0.3">
      <c r="A305" s="4">
        <v>1754310426</v>
      </c>
      <c r="B305" s="4">
        <v>304</v>
      </c>
      <c r="C305" s="4" t="s">
        <v>21</v>
      </c>
      <c r="D305" s="4" t="s">
        <v>745</v>
      </c>
      <c r="E305" s="2">
        <v>449</v>
      </c>
      <c r="F305" s="2">
        <v>359</v>
      </c>
      <c r="G305" s="9">
        <v>0.2</v>
      </c>
      <c r="H305" s="4">
        <v>4.4000000000000004</v>
      </c>
      <c r="I305" s="4" t="s">
        <v>18</v>
      </c>
      <c r="J305" s="4" t="s">
        <v>722</v>
      </c>
      <c r="K305" s="4" t="s">
        <v>733</v>
      </c>
      <c r="L305" s="4" t="s">
        <v>23</v>
      </c>
      <c r="M305" s="11" t="s">
        <v>949</v>
      </c>
      <c r="Q305" s="4" t="s">
        <v>22</v>
      </c>
      <c r="R305" t="str">
        <f t="shared" si="16"/>
        <v>Shrub</v>
      </c>
      <c r="U305" t="s">
        <v>746</v>
      </c>
      <c r="V305" s="4">
        <v>304</v>
      </c>
      <c r="W305" s="4" t="s">
        <v>551</v>
      </c>
      <c r="X305" s="4" t="str">
        <f t="shared" si="17"/>
        <v>04</v>
      </c>
      <c r="Y305" s="4" t="str">
        <f t="shared" si="18"/>
        <v>304</v>
      </c>
      <c r="Z305" s="4" t="str">
        <f t="shared" si="19"/>
        <v>1754310426</v>
      </c>
    </row>
    <row r="306" spans="1:26" x14ac:dyDescent="0.3">
      <c r="A306" s="4">
        <v>1754310429</v>
      </c>
      <c r="B306" s="4">
        <v>305</v>
      </c>
      <c r="C306" s="4" t="s">
        <v>59</v>
      </c>
      <c r="D306" s="4" t="s">
        <v>757</v>
      </c>
      <c r="E306" s="2">
        <v>199</v>
      </c>
      <c r="F306" s="2">
        <v>144</v>
      </c>
      <c r="G306" s="9">
        <v>0.27</v>
      </c>
      <c r="H306" s="4">
        <v>3.4</v>
      </c>
      <c r="I306" s="4" t="s">
        <v>13</v>
      </c>
      <c r="J306" s="4" t="s">
        <v>723</v>
      </c>
      <c r="K306" s="4" t="s">
        <v>732</v>
      </c>
      <c r="L306" s="4" t="s">
        <v>44</v>
      </c>
      <c r="M306" s="11" t="s">
        <v>949</v>
      </c>
      <c r="Q306" s="4" t="s">
        <v>28</v>
      </c>
      <c r="R306" t="str">
        <f t="shared" si="16"/>
        <v>Herb</v>
      </c>
      <c r="U306" t="s">
        <v>742</v>
      </c>
      <c r="V306" s="4">
        <v>305</v>
      </c>
      <c r="W306" s="4" t="s">
        <v>552</v>
      </c>
      <c r="X306" s="4" t="str">
        <f t="shared" si="17"/>
        <v>05</v>
      </c>
      <c r="Y306" s="4" t="str">
        <f t="shared" si="18"/>
        <v>305</v>
      </c>
      <c r="Z306" s="4" t="str">
        <f t="shared" si="19"/>
        <v>1754310429</v>
      </c>
    </row>
    <row r="307" spans="1:26" x14ac:dyDescent="0.3">
      <c r="A307" s="4">
        <v>1754310431</v>
      </c>
      <c r="B307" s="4">
        <v>306</v>
      </c>
      <c r="C307" s="4" t="s">
        <v>67</v>
      </c>
      <c r="D307" s="4" t="s">
        <v>760</v>
      </c>
      <c r="E307" s="2">
        <v>399</v>
      </c>
      <c r="F307" s="2">
        <v>135</v>
      </c>
      <c r="G307" s="9">
        <v>0.66</v>
      </c>
      <c r="H307" s="4">
        <v>4</v>
      </c>
      <c r="I307" s="4" t="s">
        <v>13</v>
      </c>
      <c r="J307" s="4" t="s">
        <v>728</v>
      </c>
      <c r="K307" s="4" t="s">
        <v>732</v>
      </c>
      <c r="L307" s="4" t="s">
        <v>44</v>
      </c>
      <c r="M307" s="11" t="s">
        <v>949</v>
      </c>
      <c r="Q307" s="4" t="s">
        <v>68</v>
      </c>
      <c r="R307" t="str">
        <f t="shared" si="16"/>
        <v>Fruit</v>
      </c>
      <c r="U307" t="s">
        <v>742</v>
      </c>
      <c r="V307" s="4">
        <v>306</v>
      </c>
      <c r="W307" s="4" t="s">
        <v>553</v>
      </c>
      <c r="X307" s="4" t="str">
        <f t="shared" si="17"/>
        <v>06</v>
      </c>
      <c r="Y307" s="4" t="str">
        <f t="shared" si="18"/>
        <v>306</v>
      </c>
      <c r="Z307" s="4" t="str">
        <f t="shared" si="19"/>
        <v>1754310431</v>
      </c>
    </row>
    <row r="308" spans="1:26" x14ac:dyDescent="0.3">
      <c r="A308" s="4">
        <v>1754310434</v>
      </c>
      <c r="B308" s="4">
        <v>307</v>
      </c>
      <c r="C308" s="4" t="s">
        <v>555</v>
      </c>
      <c r="D308" s="4" t="s">
        <v>907</v>
      </c>
      <c r="E308" s="2">
        <v>499</v>
      </c>
      <c r="F308" s="2">
        <v>135</v>
      </c>
      <c r="G308" s="9">
        <v>0.72</v>
      </c>
      <c r="H308" s="4">
        <v>4</v>
      </c>
      <c r="I308" s="4" t="s">
        <v>13</v>
      </c>
      <c r="J308" s="4" t="s">
        <v>723</v>
      </c>
      <c r="K308" s="4" t="s">
        <v>737</v>
      </c>
      <c r="L308" s="4" t="s">
        <v>121</v>
      </c>
      <c r="M308" s="11" t="s">
        <v>949</v>
      </c>
      <c r="Q308" s="4" t="s">
        <v>28</v>
      </c>
      <c r="R308" t="str">
        <f t="shared" si="16"/>
        <v>Herb</v>
      </c>
      <c r="U308" t="s">
        <v>742</v>
      </c>
      <c r="V308" s="4">
        <v>307</v>
      </c>
      <c r="W308" s="4" t="s">
        <v>554</v>
      </c>
      <c r="X308" s="4" t="str">
        <f t="shared" si="17"/>
        <v>07</v>
      </c>
      <c r="Y308" s="4" t="str">
        <f t="shared" si="18"/>
        <v>307</v>
      </c>
      <c r="Z308" s="4" t="str">
        <f t="shared" si="19"/>
        <v>1754310434</v>
      </c>
    </row>
    <row r="309" spans="1:26" x14ac:dyDescent="0.3">
      <c r="A309" s="4">
        <v>1754310436</v>
      </c>
      <c r="B309" s="4">
        <v>308</v>
      </c>
      <c r="C309" s="4" t="s">
        <v>59</v>
      </c>
      <c r="D309" s="4" t="s">
        <v>757</v>
      </c>
      <c r="E309" s="2">
        <v>499</v>
      </c>
      <c r="F309" s="2">
        <v>135</v>
      </c>
      <c r="G309" s="9">
        <v>0.72</v>
      </c>
      <c r="H309" s="4">
        <v>4</v>
      </c>
      <c r="I309" s="4" t="s">
        <v>13</v>
      </c>
      <c r="J309" s="4" t="s">
        <v>723</v>
      </c>
      <c r="K309" s="4" t="s">
        <v>732</v>
      </c>
      <c r="L309" s="4" t="s">
        <v>121</v>
      </c>
      <c r="M309" s="11" t="s">
        <v>949</v>
      </c>
      <c r="Q309" s="4" t="s">
        <v>28</v>
      </c>
      <c r="R309" t="str">
        <f t="shared" si="16"/>
        <v>Herb</v>
      </c>
      <c r="U309" t="s">
        <v>742</v>
      </c>
      <c r="V309" s="4">
        <v>308</v>
      </c>
      <c r="W309" s="4" t="s">
        <v>556</v>
      </c>
      <c r="X309" s="4" t="str">
        <f t="shared" si="17"/>
        <v>08</v>
      </c>
      <c r="Y309" s="4" t="str">
        <f t="shared" si="18"/>
        <v>308</v>
      </c>
      <c r="Z309" s="4" t="str">
        <f t="shared" si="19"/>
        <v>1754310436</v>
      </c>
    </row>
    <row r="310" spans="1:26" x14ac:dyDescent="0.3">
      <c r="A310" s="4">
        <v>1754310439</v>
      </c>
      <c r="B310" s="4">
        <v>309</v>
      </c>
      <c r="C310" s="4" t="s">
        <v>40</v>
      </c>
      <c r="D310" s="4" t="s">
        <v>752</v>
      </c>
      <c r="E310" s="2">
        <v>449</v>
      </c>
      <c r="F310" s="2">
        <v>335</v>
      </c>
      <c r="G310" s="9">
        <v>0.25</v>
      </c>
      <c r="H310" s="4">
        <v>4</v>
      </c>
      <c r="I310" s="4" t="s">
        <v>18</v>
      </c>
      <c r="J310" s="4" t="s">
        <v>724</v>
      </c>
      <c r="K310" s="4" t="s">
        <v>733</v>
      </c>
      <c r="L310" s="4" t="s">
        <v>23</v>
      </c>
      <c r="M310" s="11" t="s">
        <v>949</v>
      </c>
      <c r="Q310" s="4" t="s">
        <v>41</v>
      </c>
      <c r="R310" t="str">
        <f t="shared" si="16"/>
        <v>Succulent</v>
      </c>
      <c r="U310" t="s">
        <v>742</v>
      </c>
      <c r="V310" s="4">
        <v>309</v>
      </c>
      <c r="W310" s="4" t="s">
        <v>557</v>
      </c>
      <c r="X310" s="4" t="str">
        <f t="shared" si="17"/>
        <v>09</v>
      </c>
      <c r="Y310" s="4" t="str">
        <f t="shared" si="18"/>
        <v>309</v>
      </c>
      <c r="Z310" s="4" t="str">
        <f t="shared" si="19"/>
        <v>1754310439</v>
      </c>
    </row>
    <row r="311" spans="1:26" x14ac:dyDescent="0.3">
      <c r="A311" s="4">
        <v>1754310442</v>
      </c>
      <c r="B311" s="4">
        <v>310</v>
      </c>
      <c r="C311" s="4" t="s">
        <v>40</v>
      </c>
      <c r="D311" s="4" t="s">
        <v>752</v>
      </c>
      <c r="E311" s="2">
        <v>499</v>
      </c>
      <c r="F311" s="2">
        <v>426</v>
      </c>
      <c r="G311" s="9">
        <v>0.14000000000000001</v>
      </c>
      <c r="H311" s="4">
        <v>4.2</v>
      </c>
      <c r="I311" s="4" t="s">
        <v>18</v>
      </c>
      <c r="J311" s="4" t="s">
        <v>724</v>
      </c>
      <c r="K311" s="4" t="s">
        <v>733</v>
      </c>
      <c r="L311" s="4" t="s">
        <v>23</v>
      </c>
      <c r="M311" s="11" t="s">
        <v>949</v>
      </c>
      <c r="Q311" s="4" t="s">
        <v>41</v>
      </c>
      <c r="R311" t="str">
        <f t="shared" si="16"/>
        <v>Succulent</v>
      </c>
      <c r="U311" t="s">
        <v>742</v>
      </c>
      <c r="V311" s="4">
        <v>310</v>
      </c>
      <c r="W311" s="4" t="s">
        <v>558</v>
      </c>
      <c r="X311" s="4" t="str">
        <f t="shared" si="17"/>
        <v>10</v>
      </c>
      <c r="Y311" s="4" t="str">
        <f t="shared" si="18"/>
        <v>310</v>
      </c>
      <c r="Z311" s="4" t="str">
        <f t="shared" si="19"/>
        <v>1754310442</v>
      </c>
    </row>
    <row r="312" spans="1:26" x14ac:dyDescent="0.3">
      <c r="A312" s="4">
        <v>1754310444</v>
      </c>
      <c r="B312" s="4">
        <v>311</v>
      </c>
      <c r="C312" s="4" t="s">
        <v>528</v>
      </c>
      <c r="D312" s="4" t="s">
        <v>900</v>
      </c>
      <c r="E312" s="2">
        <v>499</v>
      </c>
      <c r="F312" s="2">
        <v>142</v>
      </c>
      <c r="G312" s="9">
        <v>0.71</v>
      </c>
      <c r="H312" s="4">
        <v>4</v>
      </c>
      <c r="I312" s="4" t="s">
        <v>18</v>
      </c>
      <c r="J312" s="4" t="s">
        <v>728</v>
      </c>
      <c r="K312" s="4" t="s">
        <v>737</v>
      </c>
      <c r="L312" s="4" t="s">
        <v>121</v>
      </c>
      <c r="M312" s="11" t="s">
        <v>949</v>
      </c>
      <c r="Q312" s="4" t="s">
        <v>68</v>
      </c>
      <c r="R312" t="str">
        <f t="shared" si="16"/>
        <v>Fruit</v>
      </c>
      <c r="U312" t="s">
        <v>742</v>
      </c>
      <c r="V312" s="4">
        <v>311</v>
      </c>
      <c r="W312" s="4" t="s">
        <v>559</v>
      </c>
      <c r="X312" s="4" t="str">
        <f t="shared" si="17"/>
        <v>11</v>
      </c>
      <c r="Y312" s="4" t="str">
        <f t="shared" si="18"/>
        <v>311</v>
      </c>
      <c r="Z312" s="4" t="str">
        <f t="shared" si="19"/>
        <v>1754310444</v>
      </c>
    </row>
    <row r="313" spans="1:26" x14ac:dyDescent="0.3">
      <c r="A313" s="4">
        <v>1754310447</v>
      </c>
      <c r="B313" s="4">
        <v>312</v>
      </c>
      <c r="C313" s="4" t="s">
        <v>59</v>
      </c>
      <c r="D313" s="4" t="s">
        <v>757</v>
      </c>
      <c r="E313" s="2">
        <v>499</v>
      </c>
      <c r="F313" s="2">
        <v>132</v>
      </c>
      <c r="G313" s="9">
        <v>0.73</v>
      </c>
      <c r="H313" s="4">
        <v>4</v>
      </c>
      <c r="I313" s="4" t="s">
        <v>13</v>
      </c>
      <c r="J313" s="4" t="s">
        <v>723</v>
      </c>
      <c r="K313" s="4" t="s">
        <v>737</v>
      </c>
      <c r="L313" s="4" t="s">
        <v>121</v>
      </c>
      <c r="M313" s="11" t="s">
        <v>949</v>
      </c>
      <c r="Q313" s="4" t="s">
        <v>28</v>
      </c>
      <c r="R313" t="str">
        <f t="shared" si="16"/>
        <v>Herb</v>
      </c>
      <c r="U313" t="s">
        <v>742</v>
      </c>
      <c r="V313" s="4">
        <v>312</v>
      </c>
      <c r="W313" s="4" t="s">
        <v>560</v>
      </c>
      <c r="X313" s="4" t="str">
        <f t="shared" si="17"/>
        <v>12</v>
      </c>
      <c r="Y313" s="4" t="str">
        <f t="shared" si="18"/>
        <v>312</v>
      </c>
      <c r="Z313" s="4" t="str">
        <f t="shared" si="19"/>
        <v>1754310447</v>
      </c>
    </row>
    <row r="314" spans="1:26" x14ac:dyDescent="0.3">
      <c r="A314" s="4">
        <v>1754310449</v>
      </c>
      <c r="B314" s="4">
        <v>313</v>
      </c>
      <c r="C314" s="4" t="s">
        <v>40</v>
      </c>
      <c r="D314" s="4" t="s">
        <v>752</v>
      </c>
      <c r="E314" s="2">
        <v>499</v>
      </c>
      <c r="F314" s="2">
        <v>335</v>
      </c>
      <c r="G314" s="9">
        <v>0.32</v>
      </c>
      <c r="H314" s="4">
        <v>4</v>
      </c>
      <c r="I314" s="4" t="s">
        <v>18</v>
      </c>
      <c r="J314" s="4" t="s">
        <v>724</v>
      </c>
      <c r="K314" s="4" t="s">
        <v>733</v>
      </c>
      <c r="L314" s="4" t="s">
        <v>23</v>
      </c>
      <c r="M314" s="11" t="s">
        <v>949</v>
      </c>
      <c r="Q314" s="4" t="s">
        <v>41</v>
      </c>
      <c r="R314" t="str">
        <f t="shared" si="16"/>
        <v>Succulent</v>
      </c>
      <c r="U314" t="s">
        <v>742</v>
      </c>
      <c r="V314" s="4">
        <v>313</v>
      </c>
      <c r="W314" s="4" t="s">
        <v>561</v>
      </c>
      <c r="X314" s="4" t="str">
        <f t="shared" si="17"/>
        <v>13</v>
      </c>
      <c r="Y314" s="4" t="str">
        <f t="shared" si="18"/>
        <v>313</v>
      </c>
      <c r="Z314" s="4" t="str">
        <f t="shared" si="19"/>
        <v>1754310449</v>
      </c>
    </row>
    <row r="315" spans="1:26" x14ac:dyDescent="0.3">
      <c r="A315" s="4">
        <v>1754310452</v>
      </c>
      <c r="B315" s="4">
        <v>314</v>
      </c>
      <c r="C315" s="4" t="s">
        <v>21</v>
      </c>
      <c r="D315" s="4" t="s">
        <v>745</v>
      </c>
      <c r="E315" s="2">
        <v>445</v>
      </c>
      <c r="F315" s="2">
        <v>335</v>
      </c>
      <c r="G315" s="9">
        <v>0.24</v>
      </c>
      <c r="H315" s="4">
        <v>4.4000000000000004</v>
      </c>
      <c r="I315" s="4" t="s">
        <v>18</v>
      </c>
      <c r="J315" s="4" t="s">
        <v>722</v>
      </c>
      <c r="K315" s="4" t="s">
        <v>733</v>
      </c>
      <c r="L315" s="4" t="s">
        <v>23</v>
      </c>
      <c r="M315" s="11" t="s">
        <v>949</v>
      </c>
      <c r="Q315" s="4" t="s">
        <v>22</v>
      </c>
      <c r="R315" t="str">
        <f t="shared" si="16"/>
        <v>Shrub</v>
      </c>
      <c r="U315" t="s">
        <v>746</v>
      </c>
      <c r="V315" s="4">
        <v>314</v>
      </c>
      <c r="W315" s="4" t="s">
        <v>562</v>
      </c>
      <c r="X315" s="4" t="str">
        <f t="shared" si="17"/>
        <v>14</v>
      </c>
      <c r="Y315" s="4" t="str">
        <f t="shared" si="18"/>
        <v>314</v>
      </c>
      <c r="Z315" s="4" t="str">
        <f t="shared" si="19"/>
        <v>1754310452</v>
      </c>
    </row>
    <row r="316" spans="1:26" x14ac:dyDescent="0.3">
      <c r="A316" s="4">
        <v>1754310454</v>
      </c>
      <c r="B316" s="4">
        <v>315</v>
      </c>
      <c r="C316" s="4" t="s">
        <v>59</v>
      </c>
      <c r="D316" s="4" t="s">
        <v>757</v>
      </c>
      <c r="E316" s="2">
        <v>499</v>
      </c>
      <c r="F316" s="2">
        <v>132</v>
      </c>
      <c r="G316" s="9">
        <v>0.73</v>
      </c>
      <c r="H316" s="4">
        <v>4</v>
      </c>
      <c r="I316" s="4" t="s">
        <v>13</v>
      </c>
      <c r="J316" s="4" t="s">
        <v>723</v>
      </c>
      <c r="K316" s="4" t="s">
        <v>737</v>
      </c>
      <c r="L316" s="4" t="s">
        <v>121</v>
      </c>
      <c r="M316" s="11" t="s">
        <v>949</v>
      </c>
      <c r="Q316" s="4" t="s">
        <v>28</v>
      </c>
      <c r="R316" t="str">
        <f t="shared" si="16"/>
        <v>Herb</v>
      </c>
      <c r="U316" t="s">
        <v>742</v>
      </c>
      <c r="V316" s="4">
        <v>315</v>
      </c>
      <c r="W316" s="4" t="s">
        <v>563</v>
      </c>
      <c r="X316" s="4" t="str">
        <f t="shared" si="17"/>
        <v>15</v>
      </c>
      <c r="Y316" s="4" t="str">
        <f t="shared" si="18"/>
        <v>315</v>
      </c>
      <c r="Z316" s="4" t="str">
        <f t="shared" si="19"/>
        <v>1754310454</v>
      </c>
    </row>
    <row r="317" spans="1:26" x14ac:dyDescent="0.3">
      <c r="A317" s="4">
        <v>1754310457</v>
      </c>
      <c r="B317" s="4">
        <v>316</v>
      </c>
      <c r="C317" s="4" t="s">
        <v>59</v>
      </c>
      <c r="D317" s="4" t="s">
        <v>757</v>
      </c>
      <c r="E317" s="2">
        <v>499</v>
      </c>
      <c r="F317" s="2">
        <v>132</v>
      </c>
      <c r="G317" s="9">
        <v>0.73</v>
      </c>
      <c r="H317" s="4">
        <v>4</v>
      </c>
      <c r="I317" s="4" t="s">
        <v>13</v>
      </c>
      <c r="J317" s="4" t="s">
        <v>723</v>
      </c>
      <c r="K317" s="4" t="s">
        <v>737</v>
      </c>
      <c r="L317" s="4" t="s">
        <v>121</v>
      </c>
      <c r="M317" s="11" t="s">
        <v>949</v>
      </c>
      <c r="Q317" s="4" t="s">
        <v>28</v>
      </c>
      <c r="R317" t="str">
        <f t="shared" si="16"/>
        <v>Herb</v>
      </c>
      <c r="U317" t="s">
        <v>742</v>
      </c>
      <c r="V317" s="4">
        <v>316</v>
      </c>
      <c r="W317" s="4" t="s">
        <v>564</v>
      </c>
      <c r="X317" s="4" t="str">
        <f t="shared" si="17"/>
        <v>16</v>
      </c>
      <c r="Y317" s="4" t="str">
        <f t="shared" si="18"/>
        <v>316</v>
      </c>
      <c r="Z317" s="4" t="str">
        <f t="shared" si="19"/>
        <v>1754310457</v>
      </c>
    </row>
    <row r="318" spans="1:26" x14ac:dyDescent="0.3">
      <c r="A318" s="4">
        <v>1754310459</v>
      </c>
      <c r="B318" s="4">
        <v>317</v>
      </c>
      <c r="C318" s="4" t="s">
        <v>59</v>
      </c>
      <c r="D318" s="4" t="s">
        <v>757</v>
      </c>
      <c r="E318" s="2">
        <v>499</v>
      </c>
      <c r="F318" s="2">
        <v>142</v>
      </c>
      <c r="G318" s="9">
        <v>0.71</v>
      </c>
      <c r="H318" s="4">
        <v>4</v>
      </c>
      <c r="I318" s="4" t="s">
        <v>13</v>
      </c>
      <c r="J318" s="4" t="s">
        <v>723</v>
      </c>
      <c r="K318" s="4" t="s">
        <v>732</v>
      </c>
      <c r="L318" s="4" t="s">
        <v>121</v>
      </c>
      <c r="M318" s="11" t="s">
        <v>949</v>
      </c>
      <c r="Q318" s="4" t="s">
        <v>28</v>
      </c>
      <c r="R318" t="str">
        <f t="shared" si="16"/>
        <v>Herb</v>
      </c>
      <c r="U318" t="s">
        <v>742</v>
      </c>
      <c r="V318" s="4">
        <v>317</v>
      </c>
      <c r="W318" s="4" t="s">
        <v>565</v>
      </c>
      <c r="X318" s="4" t="str">
        <f t="shared" si="17"/>
        <v>17</v>
      </c>
      <c r="Y318" s="4" t="str">
        <f t="shared" si="18"/>
        <v>317</v>
      </c>
      <c r="Z318" s="4" t="str">
        <f t="shared" si="19"/>
        <v>1754310459</v>
      </c>
    </row>
    <row r="319" spans="1:26" x14ac:dyDescent="0.3">
      <c r="A319" s="4">
        <v>1754310462</v>
      </c>
      <c r="B319" s="4">
        <v>318</v>
      </c>
      <c r="C319" s="4" t="s">
        <v>59</v>
      </c>
      <c r="D319" s="4" t="s">
        <v>757</v>
      </c>
      <c r="E319" s="2">
        <v>499</v>
      </c>
      <c r="F319" s="2">
        <v>142</v>
      </c>
      <c r="G319" s="9">
        <v>0.71</v>
      </c>
      <c r="H319" s="4">
        <v>4</v>
      </c>
      <c r="I319" s="4" t="s">
        <v>13</v>
      </c>
      <c r="J319" s="4" t="s">
        <v>723</v>
      </c>
      <c r="K319" s="4" t="s">
        <v>732</v>
      </c>
      <c r="L319" s="4" t="s">
        <v>121</v>
      </c>
      <c r="M319" s="11" t="s">
        <v>949</v>
      </c>
      <c r="Q319" s="4" t="s">
        <v>28</v>
      </c>
      <c r="R319" t="str">
        <f t="shared" si="16"/>
        <v>Herb</v>
      </c>
      <c r="U319" t="s">
        <v>742</v>
      </c>
      <c r="V319" s="4">
        <v>318</v>
      </c>
      <c r="W319" s="4" t="s">
        <v>566</v>
      </c>
      <c r="X319" s="4" t="str">
        <f t="shared" si="17"/>
        <v>18</v>
      </c>
      <c r="Y319" s="4" t="str">
        <f t="shared" si="18"/>
        <v>318</v>
      </c>
      <c r="Z319" s="4" t="str">
        <f t="shared" si="19"/>
        <v>1754310462</v>
      </c>
    </row>
    <row r="320" spans="1:26" x14ac:dyDescent="0.3">
      <c r="A320" s="4">
        <v>1754310464</v>
      </c>
      <c r="B320" s="4">
        <v>319</v>
      </c>
      <c r="C320" s="4" t="s">
        <v>40</v>
      </c>
      <c r="D320" s="4" t="s">
        <v>752</v>
      </c>
      <c r="E320" s="2">
        <v>495</v>
      </c>
      <c r="F320" s="2">
        <v>331</v>
      </c>
      <c r="G320" s="9">
        <v>0.33</v>
      </c>
      <c r="H320" s="4">
        <v>4.0999999999999996</v>
      </c>
      <c r="I320" s="4" t="s">
        <v>18</v>
      </c>
      <c r="J320" s="4" t="s">
        <v>724</v>
      </c>
      <c r="K320" s="4" t="s">
        <v>733</v>
      </c>
      <c r="L320" s="4" t="s">
        <v>23</v>
      </c>
      <c r="M320" s="11" t="s">
        <v>949</v>
      </c>
      <c r="Q320" s="4" t="s">
        <v>41</v>
      </c>
      <c r="R320" t="str">
        <f t="shared" si="16"/>
        <v>Succulent</v>
      </c>
      <c r="U320" t="s">
        <v>742</v>
      </c>
      <c r="V320" s="4">
        <v>319</v>
      </c>
      <c r="W320" s="4" t="s">
        <v>567</v>
      </c>
      <c r="X320" s="4" t="str">
        <f t="shared" si="17"/>
        <v>19</v>
      </c>
      <c r="Y320" s="4" t="str">
        <f t="shared" si="18"/>
        <v>319</v>
      </c>
      <c r="Z320" s="4" t="str">
        <f t="shared" si="19"/>
        <v>1754310464</v>
      </c>
    </row>
    <row r="321" spans="1:26" x14ac:dyDescent="0.3">
      <c r="A321" s="4">
        <v>1754310467</v>
      </c>
      <c r="B321" s="4">
        <v>320</v>
      </c>
      <c r="C321" s="4" t="s">
        <v>40</v>
      </c>
      <c r="D321" s="4" t="s">
        <v>752</v>
      </c>
      <c r="E321" s="2">
        <v>349</v>
      </c>
      <c r="F321" s="2">
        <v>325</v>
      </c>
      <c r="G321" s="9">
        <v>0.06</v>
      </c>
      <c r="H321" s="4">
        <v>4</v>
      </c>
      <c r="I321" s="4" t="s">
        <v>18</v>
      </c>
      <c r="J321" s="4" t="s">
        <v>724</v>
      </c>
      <c r="K321" s="4" t="s">
        <v>733</v>
      </c>
      <c r="L321" s="4" t="s">
        <v>23</v>
      </c>
      <c r="M321" s="11" t="s">
        <v>949</v>
      </c>
      <c r="Q321" s="4" t="s">
        <v>41</v>
      </c>
      <c r="R321" t="str">
        <f t="shared" si="16"/>
        <v>Succulent</v>
      </c>
      <c r="U321" t="s">
        <v>746</v>
      </c>
      <c r="V321" s="4">
        <v>320</v>
      </c>
      <c r="W321" s="4" t="s">
        <v>568</v>
      </c>
      <c r="X321" s="4" t="str">
        <f t="shared" si="17"/>
        <v>20</v>
      </c>
      <c r="Y321" s="4" t="str">
        <f t="shared" si="18"/>
        <v>320</v>
      </c>
      <c r="Z321" s="4" t="str">
        <f t="shared" si="19"/>
        <v>1754310467</v>
      </c>
    </row>
    <row r="322" spans="1:26" x14ac:dyDescent="0.3">
      <c r="A322" s="4">
        <v>1754310473</v>
      </c>
      <c r="B322" s="4">
        <v>321</v>
      </c>
      <c r="C322" s="4" t="s">
        <v>102</v>
      </c>
      <c r="D322" s="4" t="s">
        <v>767</v>
      </c>
      <c r="E322" s="2">
        <v>499</v>
      </c>
      <c r="F322" s="2">
        <v>145</v>
      </c>
      <c r="G322" s="9">
        <v>0.7</v>
      </c>
      <c r="H322" s="4">
        <v>4</v>
      </c>
      <c r="I322" s="4" t="s">
        <v>13</v>
      </c>
      <c r="J322" s="4" t="s">
        <v>728</v>
      </c>
      <c r="K322" s="4" t="s">
        <v>732</v>
      </c>
      <c r="L322" s="4" t="s">
        <v>29</v>
      </c>
      <c r="M322" s="11" t="s">
        <v>949</v>
      </c>
      <c r="Q322" s="4" t="s">
        <v>68</v>
      </c>
      <c r="R322" t="str">
        <f t="shared" si="16"/>
        <v>Fruit</v>
      </c>
      <c r="U322" t="s">
        <v>742</v>
      </c>
      <c r="V322" s="4">
        <v>321</v>
      </c>
      <c r="W322" s="4" t="s">
        <v>569</v>
      </c>
      <c r="X322" s="4" t="str">
        <f t="shared" si="17"/>
        <v>21</v>
      </c>
      <c r="Y322" s="4" t="str">
        <f t="shared" si="18"/>
        <v>321</v>
      </c>
      <c r="Z322" s="4" t="str">
        <f t="shared" si="19"/>
        <v>1754310473</v>
      </c>
    </row>
    <row r="323" spans="1:26" x14ac:dyDescent="0.3">
      <c r="A323" s="4">
        <v>1754310475</v>
      </c>
      <c r="B323" s="4">
        <v>322</v>
      </c>
      <c r="C323" s="4" t="s">
        <v>59</v>
      </c>
      <c r="D323" s="4" t="s">
        <v>757</v>
      </c>
      <c r="E323" s="2">
        <v>499</v>
      </c>
      <c r="F323" s="2">
        <v>147</v>
      </c>
      <c r="G323" s="9">
        <v>0.7</v>
      </c>
      <c r="H323" s="4">
        <v>4</v>
      </c>
      <c r="I323" s="4" t="s">
        <v>13</v>
      </c>
      <c r="J323" s="4" t="s">
        <v>723</v>
      </c>
      <c r="K323" s="4" t="s">
        <v>732</v>
      </c>
      <c r="L323" s="4" t="s">
        <v>44</v>
      </c>
      <c r="M323" s="11" t="s">
        <v>949</v>
      </c>
      <c r="Q323" s="4" t="s">
        <v>28</v>
      </c>
      <c r="R323" t="str">
        <f t="shared" ref="R323:R386" si="20">RIGHT(Q323,LEN(Q323)-FIND(" ",Q323,1))</f>
        <v>Herb</v>
      </c>
      <c r="U323" t="s">
        <v>742</v>
      </c>
      <c r="V323" s="4">
        <v>322</v>
      </c>
      <c r="W323" s="4" t="s">
        <v>570</v>
      </c>
      <c r="X323" s="4" t="str">
        <f t="shared" ref="X323:X386" si="21">RIGHT(W323,2)</f>
        <v>22</v>
      </c>
      <c r="Y323" s="4" t="str">
        <f t="shared" ref="Y323:Y386" si="22">RIGHT(W323,LEN(W323)-FIND("-",W323,1))</f>
        <v>322</v>
      </c>
      <c r="Z323" s="4" t="str">
        <f t="shared" ref="Z323:Z386" si="23">LEFT(W323,FIND("-",W323,1)-1)</f>
        <v>1754310475</v>
      </c>
    </row>
    <row r="324" spans="1:26" x14ac:dyDescent="0.3">
      <c r="A324" s="4">
        <v>1754310478</v>
      </c>
      <c r="B324" s="4">
        <v>323</v>
      </c>
      <c r="C324" s="4" t="s">
        <v>572</v>
      </c>
      <c r="D324" s="4" t="s">
        <v>908</v>
      </c>
      <c r="E324" s="2">
        <v>622</v>
      </c>
      <c r="F324" s="2">
        <v>116</v>
      </c>
      <c r="G324" s="9">
        <v>0.81</v>
      </c>
      <c r="H324" s="4">
        <v>3.4</v>
      </c>
      <c r="I324" s="4" t="s">
        <v>18</v>
      </c>
      <c r="J324" s="4" t="s">
        <v>728</v>
      </c>
      <c r="K324" s="4" t="s">
        <v>737</v>
      </c>
      <c r="L324" s="4" t="s">
        <v>72</v>
      </c>
      <c r="M324" s="11" t="s">
        <v>949</v>
      </c>
      <c r="Q324" s="4" t="s">
        <v>68</v>
      </c>
      <c r="R324" t="str">
        <f t="shared" si="20"/>
        <v>Fruit</v>
      </c>
      <c r="U324" t="s">
        <v>742</v>
      </c>
      <c r="V324" s="4">
        <v>323</v>
      </c>
      <c r="W324" s="4" t="s">
        <v>571</v>
      </c>
      <c r="X324" s="4" t="str">
        <f t="shared" si="21"/>
        <v>23</v>
      </c>
      <c r="Y324" s="4" t="str">
        <f t="shared" si="22"/>
        <v>323</v>
      </c>
      <c r="Z324" s="4" t="str">
        <f t="shared" si="23"/>
        <v>1754310478</v>
      </c>
    </row>
    <row r="325" spans="1:26" x14ac:dyDescent="0.3">
      <c r="A325" s="4">
        <v>1754310480</v>
      </c>
      <c r="B325" s="4">
        <v>324</v>
      </c>
      <c r="C325" s="4" t="s">
        <v>25</v>
      </c>
      <c r="D325" s="4" t="s">
        <v>747</v>
      </c>
      <c r="E325" s="2">
        <v>449</v>
      </c>
      <c r="F325" s="2">
        <v>349</v>
      </c>
      <c r="G325" s="9">
        <v>0.22</v>
      </c>
      <c r="H325" s="4">
        <v>4.3</v>
      </c>
      <c r="I325" s="4" t="s">
        <v>18</v>
      </c>
      <c r="J325" s="4" t="s">
        <v>722</v>
      </c>
      <c r="K325" s="4" t="s">
        <v>733</v>
      </c>
      <c r="L325" s="4" t="s">
        <v>23</v>
      </c>
      <c r="M325" s="11" t="s">
        <v>949</v>
      </c>
      <c r="Q325" s="4" t="s">
        <v>22</v>
      </c>
      <c r="R325" t="str">
        <f t="shared" si="20"/>
        <v>Shrub</v>
      </c>
      <c r="U325" t="s">
        <v>746</v>
      </c>
      <c r="V325" s="4">
        <v>324</v>
      </c>
      <c r="W325" s="4" t="s">
        <v>573</v>
      </c>
      <c r="X325" s="4" t="str">
        <f t="shared" si="21"/>
        <v>24</v>
      </c>
      <c r="Y325" s="4" t="str">
        <f t="shared" si="22"/>
        <v>324</v>
      </c>
      <c r="Z325" s="4" t="str">
        <f t="shared" si="23"/>
        <v>1754310480</v>
      </c>
    </row>
    <row r="326" spans="1:26" x14ac:dyDescent="0.3">
      <c r="A326" s="4">
        <v>1754310483</v>
      </c>
      <c r="B326" s="4">
        <v>325</v>
      </c>
      <c r="C326" s="4" t="s">
        <v>575</v>
      </c>
      <c r="D326" s="4" t="s">
        <v>909</v>
      </c>
      <c r="E326" s="2">
        <v>379</v>
      </c>
      <c r="F326" s="2">
        <v>157</v>
      </c>
      <c r="G326" s="9">
        <v>0.57999999999999996</v>
      </c>
      <c r="H326" s="4">
        <v>3.6</v>
      </c>
      <c r="I326" s="4" t="s">
        <v>18</v>
      </c>
      <c r="J326" s="4" t="s">
        <v>728</v>
      </c>
      <c r="K326" s="4" t="s">
        <v>737</v>
      </c>
      <c r="L326" s="4" t="s">
        <v>79</v>
      </c>
      <c r="M326" s="11" t="s">
        <v>949</v>
      </c>
      <c r="Q326" s="4" t="s">
        <v>68</v>
      </c>
      <c r="R326" t="str">
        <f t="shared" si="20"/>
        <v>Fruit</v>
      </c>
      <c r="U326" t="s">
        <v>742</v>
      </c>
      <c r="V326" s="4">
        <v>325</v>
      </c>
      <c r="W326" s="4" t="s">
        <v>574</v>
      </c>
      <c r="X326" s="4" t="str">
        <f t="shared" si="21"/>
        <v>25</v>
      </c>
      <c r="Y326" s="4" t="str">
        <f t="shared" si="22"/>
        <v>325</v>
      </c>
      <c r="Z326" s="4" t="str">
        <f t="shared" si="23"/>
        <v>1754310483</v>
      </c>
    </row>
    <row r="327" spans="1:26" x14ac:dyDescent="0.3">
      <c r="A327" s="4">
        <v>1754310485</v>
      </c>
      <c r="B327" s="4">
        <v>326</v>
      </c>
      <c r="C327" s="4" t="s">
        <v>128</v>
      </c>
      <c r="D327" s="4" t="s">
        <v>775</v>
      </c>
      <c r="E327" s="2">
        <v>199</v>
      </c>
      <c r="F327" s="2">
        <v>137</v>
      </c>
      <c r="G327" s="9">
        <v>0.31</v>
      </c>
      <c r="H327" s="4">
        <v>4</v>
      </c>
      <c r="I327" s="4" t="s">
        <v>13</v>
      </c>
      <c r="J327" s="4" t="s">
        <v>722</v>
      </c>
      <c r="K327" s="4" t="s">
        <v>732</v>
      </c>
      <c r="L327" s="4" t="s">
        <v>121</v>
      </c>
      <c r="M327" s="11" t="s">
        <v>949</v>
      </c>
      <c r="Q327" s="4" t="s">
        <v>22</v>
      </c>
      <c r="R327" t="str">
        <f t="shared" si="20"/>
        <v>Shrub</v>
      </c>
      <c r="U327" t="s">
        <v>742</v>
      </c>
      <c r="V327" s="4">
        <v>326</v>
      </c>
      <c r="W327" s="4" t="s">
        <v>576</v>
      </c>
      <c r="X327" s="4" t="str">
        <f t="shared" si="21"/>
        <v>26</v>
      </c>
      <c r="Y327" s="4" t="str">
        <f t="shared" si="22"/>
        <v>326</v>
      </c>
      <c r="Z327" s="4" t="str">
        <f t="shared" si="23"/>
        <v>1754310485</v>
      </c>
    </row>
    <row r="328" spans="1:26" x14ac:dyDescent="0.3">
      <c r="A328" s="4">
        <v>1754310488</v>
      </c>
      <c r="B328" s="4">
        <v>327</v>
      </c>
      <c r="C328" s="4" t="s">
        <v>59</v>
      </c>
      <c r="D328" s="4" t="s">
        <v>757</v>
      </c>
      <c r="E328" s="2">
        <v>399</v>
      </c>
      <c r="F328" s="2">
        <v>140</v>
      </c>
      <c r="G328" s="9">
        <v>0.64</v>
      </c>
      <c r="H328" s="4">
        <v>4</v>
      </c>
      <c r="I328" s="4" t="s">
        <v>13</v>
      </c>
      <c r="J328" s="4" t="s">
        <v>723</v>
      </c>
      <c r="K328" s="4" t="s">
        <v>732</v>
      </c>
      <c r="L328" s="4" t="s">
        <v>44</v>
      </c>
      <c r="M328" s="11" t="s">
        <v>949</v>
      </c>
      <c r="Q328" s="4" t="s">
        <v>28</v>
      </c>
      <c r="R328" t="str">
        <f t="shared" si="20"/>
        <v>Herb</v>
      </c>
      <c r="U328" t="s">
        <v>742</v>
      </c>
      <c r="V328" s="4">
        <v>327</v>
      </c>
      <c r="W328" s="4" t="s">
        <v>577</v>
      </c>
      <c r="X328" s="4" t="str">
        <f t="shared" si="21"/>
        <v>27</v>
      </c>
      <c r="Y328" s="4" t="str">
        <f t="shared" si="22"/>
        <v>327</v>
      </c>
      <c r="Z328" s="4" t="str">
        <f t="shared" si="23"/>
        <v>1754310488</v>
      </c>
    </row>
    <row r="329" spans="1:26" x14ac:dyDescent="0.3">
      <c r="A329" s="4">
        <v>1754310491</v>
      </c>
      <c r="B329" s="4">
        <v>328</v>
      </c>
      <c r="C329" s="4" t="s">
        <v>59</v>
      </c>
      <c r="D329" s="4" t="s">
        <v>757</v>
      </c>
      <c r="E329" s="2">
        <v>199</v>
      </c>
      <c r="F329" s="2">
        <v>137</v>
      </c>
      <c r="G329" s="9">
        <v>0.31</v>
      </c>
      <c r="H329" s="4">
        <v>4</v>
      </c>
      <c r="I329" s="4" t="s">
        <v>13</v>
      </c>
      <c r="J329" s="4" t="s">
        <v>723</v>
      </c>
      <c r="K329" s="4" t="s">
        <v>732</v>
      </c>
      <c r="L329" s="4" t="s">
        <v>121</v>
      </c>
      <c r="M329" s="11" t="s">
        <v>949</v>
      </c>
      <c r="Q329" s="4" t="s">
        <v>28</v>
      </c>
      <c r="R329" t="str">
        <f t="shared" si="20"/>
        <v>Herb</v>
      </c>
      <c r="U329" t="s">
        <v>742</v>
      </c>
      <c r="V329" s="4">
        <v>328</v>
      </c>
      <c r="W329" s="4" t="s">
        <v>578</v>
      </c>
      <c r="X329" s="4" t="str">
        <f t="shared" si="21"/>
        <v>28</v>
      </c>
      <c r="Y329" s="4" t="str">
        <f t="shared" si="22"/>
        <v>328</v>
      </c>
      <c r="Z329" s="4" t="str">
        <f t="shared" si="23"/>
        <v>1754310491</v>
      </c>
    </row>
    <row r="330" spans="1:26" x14ac:dyDescent="0.3">
      <c r="A330" s="4">
        <v>1754310493</v>
      </c>
      <c r="B330" s="4">
        <v>329</v>
      </c>
      <c r="C330" s="4" t="s">
        <v>21</v>
      </c>
      <c r="D330" s="4" t="s">
        <v>745</v>
      </c>
      <c r="E330" s="2">
        <v>449</v>
      </c>
      <c r="F330" s="2">
        <v>384</v>
      </c>
      <c r="G330" s="9">
        <v>0.14000000000000001</v>
      </c>
      <c r="H330" s="4">
        <v>4.4000000000000004</v>
      </c>
      <c r="I330" s="4" t="s">
        <v>18</v>
      </c>
      <c r="J330" s="4" t="s">
        <v>722</v>
      </c>
      <c r="K330" s="4" t="s">
        <v>733</v>
      </c>
      <c r="L330" s="4" t="s">
        <v>23</v>
      </c>
      <c r="M330" s="11" t="s">
        <v>949</v>
      </c>
      <c r="Q330" s="4" t="s">
        <v>22</v>
      </c>
      <c r="R330" t="str">
        <f t="shared" si="20"/>
        <v>Shrub</v>
      </c>
      <c r="U330" t="s">
        <v>746</v>
      </c>
      <c r="V330" s="4">
        <v>329</v>
      </c>
      <c r="W330" s="4" t="s">
        <v>579</v>
      </c>
      <c r="X330" s="4" t="str">
        <f t="shared" si="21"/>
        <v>29</v>
      </c>
      <c r="Y330" s="4" t="str">
        <f t="shared" si="22"/>
        <v>329</v>
      </c>
      <c r="Z330" s="4" t="str">
        <f t="shared" si="23"/>
        <v>1754310493</v>
      </c>
    </row>
    <row r="331" spans="1:26" x14ac:dyDescent="0.3">
      <c r="A331" s="4">
        <v>1754310496</v>
      </c>
      <c r="B331" s="4">
        <v>330</v>
      </c>
      <c r="C331" s="4" t="s">
        <v>40</v>
      </c>
      <c r="D331" s="4" t="s">
        <v>752</v>
      </c>
      <c r="E331" s="2">
        <v>499</v>
      </c>
      <c r="F331" s="2">
        <v>335</v>
      </c>
      <c r="G331" s="9">
        <v>0.32</v>
      </c>
      <c r="H331" s="4">
        <v>4</v>
      </c>
      <c r="I331" s="4" t="s">
        <v>18</v>
      </c>
      <c r="J331" s="4" t="s">
        <v>724</v>
      </c>
      <c r="K331" s="4" t="s">
        <v>733</v>
      </c>
      <c r="L331" s="4" t="s">
        <v>23</v>
      </c>
      <c r="M331" s="11" t="s">
        <v>949</v>
      </c>
      <c r="Q331" s="4" t="s">
        <v>41</v>
      </c>
      <c r="R331" t="str">
        <f t="shared" si="20"/>
        <v>Succulent</v>
      </c>
      <c r="U331" t="s">
        <v>742</v>
      </c>
      <c r="V331" s="4">
        <v>330</v>
      </c>
      <c r="W331" s="4" t="s">
        <v>580</v>
      </c>
      <c r="X331" s="4" t="str">
        <f t="shared" si="21"/>
        <v>30</v>
      </c>
      <c r="Y331" s="4" t="str">
        <f t="shared" si="22"/>
        <v>330</v>
      </c>
      <c r="Z331" s="4" t="str">
        <f t="shared" si="23"/>
        <v>1754310496</v>
      </c>
    </row>
    <row r="332" spans="1:26" x14ac:dyDescent="0.3">
      <c r="A332" s="4">
        <v>1754310498</v>
      </c>
      <c r="B332" s="4">
        <v>331</v>
      </c>
      <c r="C332" s="4" t="s">
        <v>59</v>
      </c>
      <c r="D332" s="4" t="s">
        <v>757</v>
      </c>
      <c r="E332" s="2">
        <v>299</v>
      </c>
      <c r="F332" s="2">
        <v>145</v>
      </c>
      <c r="G332" s="9">
        <v>0.51</v>
      </c>
      <c r="H332" s="4">
        <v>4</v>
      </c>
      <c r="I332" s="4" t="s">
        <v>13</v>
      </c>
      <c r="J332" s="4" t="s">
        <v>723</v>
      </c>
      <c r="K332" s="4" t="s">
        <v>732</v>
      </c>
      <c r="L332" s="4" t="s">
        <v>44</v>
      </c>
      <c r="M332" s="11" t="s">
        <v>949</v>
      </c>
      <c r="Q332" s="4" t="s">
        <v>28</v>
      </c>
      <c r="R332" t="str">
        <f t="shared" si="20"/>
        <v>Herb</v>
      </c>
      <c r="U332" t="s">
        <v>742</v>
      </c>
      <c r="V332" s="4">
        <v>331</v>
      </c>
      <c r="W332" s="4" t="s">
        <v>581</v>
      </c>
      <c r="X332" s="4" t="str">
        <f t="shared" si="21"/>
        <v>31</v>
      </c>
      <c r="Y332" s="4" t="str">
        <f t="shared" si="22"/>
        <v>331</v>
      </c>
      <c r="Z332" s="4" t="str">
        <f t="shared" si="23"/>
        <v>1754310498</v>
      </c>
    </row>
    <row r="333" spans="1:26" x14ac:dyDescent="0.3">
      <c r="A333" s="4">
        <v>1754310501</v>
      </c>
      <c r="B333" s="4">
        <v>332</v>
      </c>
      <c r="C333" s="4" t="s">
        <v>59</v>
      </c>
      <c r="D333" s="4" t="s">
        <v>757</v>
      </c>
      <c r="E333" s="2">
        <v>299</v>
      </c>
      <c r="F333" s="2">
        <v>145</v>
      </c>
      <c r="G333" s="9">
        <v>0.51</v>
      </c>
      <c r="H333" s="4">
        <v>4</v>
      </c>
      <c r="I333" s="4" t="s">
        <v>13</v>
      </c>
      <c r="J333" s="4" t="s">
        <v>723</v>
      </c>
      <c r="K333" s="4" t="s">
        <v>732</v>
      </c>
      <c r="L333" s="4" t="s">
        <v>121</v>
      </c>
      <c r="M333" s="11" t="s">
        <v>949</v>
      </c>
      <c r="Q333" s="4" t="s">
        <v>28</v>
      </c>
      <c r="R333" t="str">
        <f t="shared" si="20"/>
        <v>Herb</v>
      </c>
      <c r="U333" t="s">
        <v>742</v>
      </c>
      <c r="V333" s="4">
        <v>332</v>
      </c>
      <c r="W333" s="4" t="s">
        <v>582</v>
      </c>
      <c r="X333" s="4" t="str">
        <f t="shared" si="21"/>
        <v>32</v>
      </c>
      <c r="Y333" s="4" t="str">
        <f t="shared" si="22"/>
        <v>332</v>
      </c>
      <c r="Z333" s="4" t="str">
        <f t="shared" si="23"/>
        <v>1754310501</v>
      </c>
    </row>
    <row r="334" spans="1:26" x14ac:dyDescent="0.3">
      <c r="A334" s="4">
        <v>1754310504</v>
      </c>
      <c r="B334" s="4">
        <v>333</v>
      </c>
      <c r="C334" s="4" t="s">
        <v>40</v>
      </c>
      <c r="D334" s="4" t="s">
        <v>752</v>
      </c>
      <c r="E334" s="2">
        <v>749</v>
      </c>
      <c r="F334" s="2">
        <v>516</v>
      </c>
      <c r="G334" s="9">
        <v>0.31</v>
      </c>
      <c r="H334" s="4">
        <v>3.6</v>
      </c>
      <c r="I334" s="4" t="s">
        <v>18</v>
      </c>
      <c r="J334" s="4" t="s">
        <v>724</v>
      </c>
      <c r="K334" s="4" t="s">
        <v>733</v>
      </c>
      <c r="L334" s="4" t="s">
        <v>23</v>
      </c>
      <c r="M334" s="11" t="s">
        <v>949</v>
      </c>
      <c r="Q334" s="4" t="s">
        <v>41</v>
      </c>
      <c r="R334" t="str">
        <f t="shared" si="20"/>
        <v>Succulent</v>
      </c>
      <c r="U334" t="s">
        <v>742</v>
      </c>
      <c r="V334" s="4">
        <v>333</v>
      </c>
      <c r="W334" s="4" t="s">
        <v>583</v>
      </c>
      <c r="X334" s="4" t="str">
        <f t="shared" si="21"/>
        <v>33</v>
      </c>
      <c r="Y334" s="4" t="str">
        <f t="shared" si="22"/>
        <v>333</v>
      </c>
      <c r="Z334" s="4" t="str">
        <f t="shared" si="23"/>
        <v>1754310504</v>
      </c>
    </row>
    <row r="335" spans="1:26" x14ac:dyDescent="0.3">
      <c r="A335" s="4">
        <v>1754310506</v>
      </c>
      <c r="B335" s="4">
        <v>334</v>
      </c>
      <c r="C335" s="4" t="s">
        <v>50</v>
      </c>
      <c r="D335" s="4" t="s">
        <v>755</v>
      </c>
      <c r="E335" s="2">
        <v>549</v>
      </c>
      <c r="F335" s="2">
        <v>388</v>
      </c>
      <c r="G335" s="9">
        <v>0.28999999999999998</v>
      </c>
      <c r="H335" s="4">
        <v>4.3</v>
      </c>
      <c r="I335" s="4" t="s">
        <v>18</v>
      </c>
      <c r="J335" s="4" t="s">
        <v>726</v>
      </c>
      <c r="K335" s="4" t="s">
        <v>733</v>
      </c>
      <c r="L335" s="4" t="s">
        <v>23</v>
      </c>
      <c r="M335" s="11" t="s">
        <v>949</v>
      </c>
      <c r="Q335" s="4" t="s">
        <v>51</v>
      </c>
      <c r="R335" t="str">
        <f t="shared" si="20"/>
        <v>Foliage</v>
      </c>
      <c r="U335" t="s">
        <v>742</v>
      </c>
      <c r="V335" s="4">
        <v>334</v>
      </c>
      <c r="W335" s="4" t="s">
        <v>584</v>
      </c>
      <c r="X335" s="4" t="str">
        <f t="shared" si="21"/>
        <v>34</v>
      </c>
      <c r="Y335" s="4" t="str">
        <f t="shared" si="22"/>
        <v>334</v>
      </c>
      <c r="Z335" s="4" t="str">
        <f t="shared" si="23"/>
        <v>1754310506</v>
      </c>
    </row>
    <row r="336" spans="1:26" x14ac:dyDescent="0.3">
      <c r="A336" s="4">
        <v>1754310509</v>
      </c>
      <c r="B336" s="4">
        <v>335</v>
      </c>
      <c r="C336" s="4" t="s">
        <v>59</v>
      </c>
      <c r="D336" s="4" t="s">
        <v>757</v>
      </c>
      <c r="E336" s="2">
        <v>499</v>
      </c>
      <c r="F336" s="2">
        <v>142</v>
      </c>
      <c r="G336" s="9">
        <v>0.71</v>
      </c>
      <c r="H336" s="4">
        <v>4</v>
      </c>
      <c r="I336" s="4" t="s">
        <v>13</v>
      </c>
      <c r="J336" s="4" t="s">
        <v>723</v>
      </c>
      <c r="K336" s="4" t="s">
        <v>737</v>
      </c>
      <c r="L336" s="4" t="s">
        <v>121</v>
      </c>
      <c r="M336" s="11" t="s">
        <v>949</v>
      </c>
      <c r="Q336" s="4" t="s">
        <v>28</v>
      </c>
      <c r="R336" t="str">
        <f t="shared" si="20"/>
        <v>Herb</v>
      </c>
      <c r="U336" t="s">
        <v>742</v>
      </c>
      <c r="V336" s="4">
        <v>335</v>
      </c>
      <c r="W336" s="4" t="s">
        <v>585</v>
      </c>
      <c r="X336" s="4" t="str">
        <f t="shared" si="21"/>
        <v>35</v>
      </c>
      <c r="Y336" s="4" t="str">
        <f t="shared" si="22"/>
        <v>335</v>
      </c>
      <c r="Z336" s="4" t="str">
        <f t="shared" si="23"/>
        <v>1754310509</v>
      </c>
    </row>
    <row r="337" spans="1:26" x14ac:dyDescent="0.3">
      <c r="A337" s="4">
        <v>1754310511</v>
      </c>
      <c r="B337" s="4">
        <v>336</v>
      </c>
      <c r="C337" s="4" t="s">
        <v>528</v>
      </c>
      <c r="D337" s="4" t="s">
        <v>900</v>
      </c>
      <c r="E337" s="2">
        <v>499</v>
      </c>
      <c r="F337" s="2">
        <v>182</v>
      </c>
      <c r="G337" s="9">
        <v>0.63</v>
      </c>
      <c r="H337" s="4">
        <v>3.4</v>
      </c>
      <c r="I337" s="4" t="s">
        <v>18</v>
      </c>
      <c r="J337" s="4" t="s">
        <v>728</v>
      </c>
      <c r="K337" s="4" t="s">
        <v>737</v>
      </c>
      <c r="L337" s="4" t="s">
        <v>29</v>
      </c>
      <c r="M337" s="11" t="s">
        <v>949</v>
      </c>
      <c r="Q337" s="4" t="s">
        <v>68</v>
      </c>
      <c r="R337" t="str">
        <f t="shared" si="20"/>
        <v>Fruit</v>
      </c>
      <c r="U337" t="s">
        <v>744</v>
      </c>
      <c r="V337" s="4">
        <v>336</v>
      </c>
      <c r="W337" s="4" t="s">
        <v>586</v>
      </c>
      <c r="X337" s="4" t="str">
        <f t="shared" si="21"/>
        <v>36</v>
      </c>
      <c r="Y337" s="4" t="str">
        <f t="shared" si="22"/>
        <v>336</v>
      </c>
      <c r="Z337" s="4" t="str">
        <f t="shared" si="23"/>
        <v>1754310511</v>
      </c>
    </row>
    <row r="338" spans="1:26" x14ac:dyDescent="0.3">
      <c r="A338" s="4">
        <v>1754310514</v>
      </c>
      <c r="B338" s="4">
        <v>337</v>
      </c>
      <c r="C338" s="4" t="s">
        <v>555</v>
      </c>
      <c r="D338" s="4" t="s">
        <v>907</v>
      </c>
      <c r="E338" s="2">
        <v>199</v>
      </c>
      <c r="F338" s="2">
        <v>145</v>
      </c>
      <c r="G338" s="9">
        <v>0.27</v>
      </c>
      <c r="H338" s="4">
        <v>1.1000000000000001</v>
      </c>
      <c r="I338" s="4" t="s">
        <v>18</v>
      </c>
      <c r="J338" s="4" t="s">
        <v>723</v>
      </c>
      <c r="K338" s="4" t="s">
        <v>732</v>
      </c>
      <c r="L338" s="4" t="s">
        <v>44</v>
      </c>
      <c r="M338" s="11" t="s">
        <v>949</v>
      </c>
      <c r="Q338" s="4" t="s">
        <v>28</v>
      </c>
      <c r="R338" t="str">
        <f t="shared" si="20"/>
        <v>Herb</v>
      </c>
      <c r="U338" t="s">
        <v>742</v>
      </c>
      <c r="V338" s="4">
        <v>337</v>
      </c>
      <c r="W338" s="4" t="s">
        <v>587</v>
      </c>
      <c r="X338" s="4" t="str">
        <f t="shared" si="21"/>
        <v>37</v>
      </c>
      <c r="Y338" s="4" t="str">
        <f t="shared" si="22"/>
        <v>337</v>
      </c>
      <c r="Z338" s="4" t="str">
        <f t="shared" si="23"/>
        <v>1754310514</v>
      </c>
    </row>
    <row r="339" spans="1:26" x14ac:dyDescent="0.3">
      <c r="A339" s="4">
        <v>1754310516</v>
      </c>
      <c r="B339" s="4">
        <v>338</v>
      </c>
      <c r="C339" s="4" t="s">
        <v>354</v>
      </c>
      <c r="D339" s="4" t="s">
        <v>847</v>
      </c>
      <c r="E339" s="2">
        <v>499</v>
      </c>
      <c r="F339" s="2">
        <v>155</v>
      </c>
      <c r="G339" s="9">
        <v>0.68</v>
      </c>
      <c r="H339" s="4">
        <v>4</v>
      </c>
      <c r="I339" s="4" t="s">
        <v>18</v>
      </c>
      <c r="J339" s="4" t="s">
        <v>730</v>
      </c>
      <c r="K339" s="4" t="s">
        <v>732</v>
      </c>
      <c r="L339" s="4" t="s">
        <v>29</v>
      </c>
      <c r="M339" s="11" t="s">
        <v>949</v>
      </c>
      <c r="Q339" s="4" t="s">
        <v>180</v>
      </c>
      <c r="R339" t="str">
        <f t="shared" si="20"/>
        <v>Tree</v>
      </c>
      <c r="U339" t="s">
        <v>742</v>
      </c>
      <c r="V339" s="4">
        <v>338</v>
      </c>
      <c r="W339" s="4" t="s">
        <v>588</v>
      </c>
      <c r="X339" s="4" t="str">
        <f t="shared" si="21"/>
        <v>38</v>
      </c>
      <c r="Y339" s="4" t="str">
        <f t="shared" si="22"/>
        <v>338</v>
      </c>
      <c r="Z339" s="4" t="str">
        <f t="shared" si="23"/>
        <v>1754310516</v>
      </c>
    </row>
    <row r="340" spans="1:26" x14ac:dyDescent="0.3">
      <c r="A340" s="4">
        <v>1754310519</v>
      </c>
      <c r="B340" s="4">
        <v>339</v>
      </c>
      <c r="C340" s="4" t="s">
        <v>25</v>
      </c>
      <c r="D340" s="4" t="s">
        <v>747</v>
      </c>
      <c r="E340" s="2">
        <v>449</v>
      </c>
      <c r="F340" s="2">
        <v>349</v>
      </c>
      <c r="G340" s="9">
        <v>0.22</v>
      </c>
      <c r="H340" s="4">
        <v>4.3</v>
      </c>
      <c r="I340" s="4" t="s">
        <v>18</v>
      </c>
      <c r="J340" s="4" t="s">
        <v>722</v>
      </c>
      <c r="K340" s="4" t="s">
        <v>733</v>
      </c>
      <c r="L340" s="4" t="s">
        <v>23</v>
      </c>
      <c r="M340" s="11" t="s">
        <v>949</v>
      </c>
      <c r="Q340" s="4" t="s">
        <v>22</v>
      </c>
      <c r="R340" t="str">
        <f t="shared" si="20"/>
        <v>Shrub</v>
      </c>
      <c r="U340" t="s">
        <v>746</v>
      </c>
      <c r="V340" s="4">
        <v>339</v>
      </c>
      <c r="W340" s="4" t="s">
        <v>589</v>
      </c>
      <c r="X340" s="4" t="str">
        <f t="shared" si="21"/>
        <v>39</v>
      </c>
      <c r="Y340" s="4" t="str">
        <f t="shared" si="22"/>
        <v>339</v>
      </c>
      <c r="Z340" s="4" t="str">
        <f t="shared" si="23"/>
        <v>1754310519</v>
      </c>
    </row>
    <row r="341" spans="1:26" x14ac:dyDescent="0.3">
      <c r="A341" s="4">
        <v>1754310521</v>
      </c>
      <c r="B341" s="4">
        <v>340</v>
      </c>
      <c r="C341" s="4" t="s">
        <v>25</v>
      </c>
      <c r="D341" s="4" t="s">
        <v>747</v>
      </c>
      <c r="E341" s="2">
        <v>449</v>
      </c>
      <c r="F341" s="2">
        <v>349</v>
      </c>
      <c r="G341" s="9">
        <v>0.22</v>
      </c>
      <c r="H341" s="4">
        <v>4.3</v>
      </c>
      <c r="I341" s="4" t="s">
        <v>18</v>
      </c>
      <c r="J341" s="4" t="s">
        <v>722</v>
      </c>
      <c r="K341" s="4" t="s">
        <v>733</v>
      </c>
      <c r="L341" s="4" t="s">
        <v>23</v>
      </c>
      <c r="M341" s="11" t="s">
        <v>949</v>
      </c>
      <c r="Q341" s="4" t="s">
        <v>22</v>
      </c>
      <c r="R341" t="str">
        <f t="shared" si="20"/>
        <v>Shrub</v>
      </c>
      <c r="U341" t="s">
        <v>746</v>
      </c>
      <c r="V341" s="4">
        <v>340</v>
      </c>
      <c r="W341" s="4" t="s">
        <v>590</v>
      </c>
      <c r="X341" s="4" t="str">
        <f t="shared" si="21"/>
        <v>40</v>
      </c>
      <c r="Y341" s="4" t="str">
        <f t="shared" si="22"/>
        <v>340</v>
      </c>
      <c r="Z341" s="4" t="str">
        <f t="shared" si="23"/>
        <v>1754310521</v>
      </c>
    </row>
    <row r="342" spans="1:26" x14ac:dyDescent="0.3">
      <c r="A342" s="4">
        <v>1754310524</v>
      </c>
      <c r="B342" s="4">
        <v>341</v>
      </c>
      <c r="C342" s="4" t="s">
        <v>592</v>
      </c>
      <c r="D342" s="4" t="s">
        <v>910</v>
      </c>
      <c r="E342" s="2">
        <v>211</v>
      </c>
      <c r="F342" s="2">
        <v>150</v>
      </c>
      <c r="G342" s="9">
        <v>0.28000000000000003</v>
      </c>
      <c r="H342" s="4">
        <v>3.6</v>
      </c>
      <c r="I342" s="4" t="s">
        <v>18</v>
      </c>
      <c r="J342" s="4" t="s">
        <v>728</v>
      </c>
      <c r="K342" s="4" t="s">
        <v>737</v>
      </c>
      <c r="L342" s="4" t="s">
        <v>79</v>
      </c>
      <c r="M342" s="11" t="s">
        <v>949</v>
      </c>
      <c r="Q342" s="4" t="s">
        <v>68</v>
      </c>
      <c r="R342" t="str">
        <f t="shared" si="20"/>
        <v>Fruit</v>
      </c>
      <c r="U342" t="s">
        <v>742</v>
      </c>
      <c r="V342" s="4">
        <v>341</v>
      </c>
      <c r="W342" s="4" t="s">
        <v>591</v>
      </c>
      <c r="X342" s="4" t="str">
        <f t="shared" si="21"/>
        <v>41</v>
      </c>
      <c r="Y342" s="4" t="str">
        <f t="shared" si="22"/>
        <v>341</v>
      </c>
      <c r="Z342" s="4" t="str">
        <f t="shared" si="23"/>
        <v>1754310524</v>
      </c>
    </row>
    <row r="343" spans="1:26" x14ac:dyDescent="0.3">
      <c r="A343" s="4">
        <v>1754310527</v>
      </c>
      <c r="B343" s="4">
        <v>342</v>
      </c>
      <c r="C343" s="4" t="s">
        <v>59</v>
      </c>
      <c r="D343" s="4" t="s">
        <v>757</v>
      </c>
      <c r="E343" s="2">
        <v>399</v>
      </c>
      <c r="F343" s="2">
        <v>144</v>
      </c>
      <c r="G343" s="9">
        <v>0.63</v>
      </c>
      <c r="H343" s="4">
        <v>2.5</v>
      </c>
      <c r="I343" s="4" t="s">
        <v>13</v>
      </c>
      <c r="J343" s="4" t="s">
        <v>723</v>
      </c>
      <c r="K343" s="4" t="s">
        <v>732</v>
      </c>
      <c r="L343" s="4" t="s">
        <v>121</v>
      </c>
      <c r="M343" s="11" t="s">
        <v>949</v>
      </c>
      <c r="Q343" s="4" t="s">
        <v>28</v>
      </c>
      <c r="R343" t="str">
        <f t="shared" si="20"/>
        <v>Herb</v>
      </c>
      <c r="U343" t="s">
        <v>742</v>
      </c>
      <c r="V343" s="4">
        <v>342</v>
      </c>
      <c r="W343" s="4" t="s">
        <v>593</v>
      </c>
      <c r="X343" s="4" t="str">
        <f t="shared" si="21"/>
        <v>42</v>
      </c>
      <c r="Y343" s="4" t="str">
        <f t="shared" si="22"/>
        <v>342</v>
      </c>
      <c r="Z343" s="4" t="str">
        <f t="shared" si="23"/>
        <v>1754310527</v>
      </c>
    </row>
    <row r="344" spans="1:26" x14ac:dyDescent="0.3">
      <c r="A344" s="4">
        <v>1754310529</v>
      </c>
      <c r="B344" s="4">
        <v>343</v>
      </c>
      <c r="C344" s="4" t="s">
        <v>40</v>
      </c>
      <c r="D344" s="4" t="s">
        <v>752</v>
      </c>
      <c r="E344" s="2">
        <v>499</v>
      </c>
      <c r="F344" s="2">
        <v>424</v>
      </c>
      <c r="G344" s="9">
        <v>0.15</v>
      </c>
      <c r="H344" s="4">
        <v>4.3</v>
      </c>
      <c r="I344" s="4" t="s">
        <v>18</v>
      </c>
      <c r="J344" s="4" t="s">
        <v>724</v>
      </c>
      <c r="K344" s="4" t="s">
        <v>733</v>
      </c>
      <c r="L344" s="4" t="s">
        <v>23</v>
      </c>
      <c r="M344" s="11" t="s">
        <v>949</v>
      </c>
      <c r="Q344" s="4" t="s">
        <v>41</v>
      </c>
      <c r="R344" t="str">
        <f t="shared" si="20"/>
        <v>Succulent</v>
      </c>
      <c r="U344" t="s">
        <v>742</v>
      </c>
      <c r="V344" s="4">
        <v>343</v>
      </c>
      <c r="W344" s="4" t="s">
        <v>594</v>
      </c>
      <c r="X344" s="4" t="str">
        <f t="shared" si="21"/>
        <v>43</v>
      </c>
      <c r="Y344" s="4" t="str">
        <f t="shared" si="22"/>
        <v>343</v>
      </c>
      <c r="Z344" s="4" t="str">
        <f t="shared" si="23"/>
        <v>1754310529</v>
      </c>
    </row>
    <row r="345" spans="1:26" x14ac:dyDescent="0.3">
      <c r="A345" s="4">
        <v>1754310532</v>
      </c>
      <c r="B345" s="4">
        <v>344</v>
      </c>
      <c r="C345" s="4" t="s">
        <v>21</v>
      </c>
      <c r="D345" s="4" t="s">
        <v>745</v>
      </c>
      <c r="E345" s="2">
        <v>449</v>
      </c>
      <c r="F345" s="2">
        <v>359</v>
      </c>
      <c r="G345" s="9">
        <v>0.2</v>
      </c>
      <c r="H345" s="4">
        <v>4.4000000000000004</v>
      </c>
      <c r="I345" s="4" t="s">
        <v>18</v>
      </c>
      <c r="J345" s="4" t="s">
        <v>722</v>
      </c>
      <c r="K345" s="4" t="s">
        <v>733</v>
      </c>
      <c r="L345" s="4" t="s">
        <v>23</v>
      </c>
      <c r="M345" s="11" t="s">
        <v>949</v>
      </c>
      <c r="Q345" s="4" t="s">
        <v>22</v>
      </c>
      <c r="R345" t="str">
        <f t="shared" si="20"/>
        <v>Shrub</v>
      </c>
      <c r="U345" t="s">
        <v>746</v>
      </c>
      <c r="V345" s="4">
        <v>344</v>
      </c>
      <c r="W345" s="4" t="s">
        <v>595</v>
      </c>
      <c r="X345" s="4" t="str">
        <f t="shared" si="21"/>
        <v>44</v>
      </c>
      <c r="Y345" s="4" t="str">
        <f t="shared" si="22"/>
        <v>344</v>
      </c>
      <c r="Z345" s="4" t="str">
        <f t="shared" si="23"/>
        <v>1754310532</v>
      </c>
    </row>
    <row r="346" spans="1:26" x14ac:dyDescent="0.3">
      <c r="A346" s="4">
        <v>1754310534</v>
      </c>
      <c r="B346" s="4">
        <v>345</v>
      </c>
      <c r="C346" s="4" t="s">
        <v>536</v>
      </c>
      <c r="D346" s="4" t="s">
        <v>903</v>
      </c>
      <c r="E346" s="2">
        <v>299</v>
      </c>
      <c r="F346" s="2">
        <v>144</v>
      </c>
      <c r="G346" s="9">
        <v>0.51</v>
      </c>
      <c r="H346" s="4">
        <v>2.4</v>
      </c>
      <c r="I346" s="4" t="s">
        <v>13</v>
      </c>
      <c r="J346" s="4" t="s">
        <v>728</v>
      </c>
      <c r="K346" s="4" t="s">
        <v>732</v>
      </c>
      <c r="L346" s="4" t="s">
        <v>121</v>
      </c>
      <c r="M346" s="11" t="s">
        <v>949</v>
      </c>
      <c r="Q346" s="4" t="s">
        <v>68</v>
      </c>
      <c r="R346" t="str">
        <f t="shared" si="20"/>
        <v>Fruit</v>
      </c>
      <c r="U346" t="s">
        <v>744</v>
      </c>
      <c r="V346" s="4">
        <v>345</v>
      </c>
      <c r="W346" s="4" t="s">
        <v>596</v>
      </c>
      <c r="X346" s="4" t="str">
        <f t="shared" si="21"/>
        <v>45</v>
      </c>
      <c r="Y346" s="4" t="str">
        <f t="shared" si="22"/>
        <v>345</v>
      </c>
      <c r="Z346" s="4" t="str">
        <f t="shared" si="23"/>
        <v>1754310534</v>
      </c>
    </row>
    <row r="347" spans="1:26" x14ac:dyDescent="0.3">
      <c r="A347" s="4">
        <v>1754310537</v>
      </c>
      <c r="B347" s="4">
        <v>346</v>
      </c>
      <c r="C347" s="4" t="s">
        <v>59</v>
      </c>
      <c r="D347" s="4" t="s">
        <v>757</v>
      </c>
      <c r="E347" s="2">
        <v>399</v>
      </c>
      <c r="F347" s="2">
        <v>137</v>
      </c>
      <c r="G347" s="9">
        <v>0.65</v>
      </c>
      <c r="H347" s="4">
        <v>3.5</v>
      </c>
      <c r="I347" s="4" t="s">
        <v>13</v>
      </c>
      <c r="J347" s="4" t="s">
        <v>723</v>
      </c>
      <c r="K347" s="4" t="s">
        <v>732</v>
      </c>
      <c r="L347" s="4" t="s">
        <v>121</v>
      </c>
      <c r="M347" s="11" t="s">
        <v>949</v>
      </c>
      <c r="Q347" s="4" t="s">
        <v>28</v>
      </c>
      <c r="R347" t="str">
        <f t="shared" si="20"/>
        <v>Herb</v>
      </c>
      <c r="U347" t="s">
        <v>742</v>
      </c>
      <c r="V347" s="4">
        <v>346</v>
      </c>
      <c r="W347" s="4" t="s">
        <v>597</v>
      </c>
      <c r="X347" s="4" t="str">
        <f t="shared" si="21"/>
        <v>46</v>
      </c>
      <c r="Y347" s="4" t="str">
        <f t="shared" si="22"/>
        <v>346</v>
      </c>
      <c r="Z347" s="4" t="str">
        <f t="shared" si="23"/>
        <v>1754310537</v>
      </c>
    </row>
    <row r="348" spans="1:26" x14ac:dyDescent="0.3">
      <c r="A348" s="4">
        <v>1754310539</v>
      </c>
      <c r="B348" s="4">
        <v>347</v>
      </c>
      <c r="C348" s="4" t="s">
        <v>599</v>
      </c>
      <c r="D348" s="4" t="s">
        <v>911</v>
      </c>
      <c r="E348" s="2">
        <v>599</v>
      </c>
      <c r="F348" s="2">
        <v>250</v>
      </c>
      <c r="G348" s="9">
        <v>0.57999999999999996</v>
      </c>
      <c r="H348" s="4">
        <v>3.6</v>
      </c>
      <c r="I348" s="4" t="s">
        <v>18</v>
      </c>
      <c r="J348" s="4" t="s">
        <v>727</v>
      </c>
      <c r="K348" s="4" t="s">
        <v>733</v>
      </c>
      <c r="L348" s="4" t="s">
        <v>600</v>
      </c>
      <c r="M348" s="11" t="s">
        <v>949</v>
      </c>
      <c r="Q348" s="4" t="s">
        <v>56</v>
      </c>
      <c r="R348" t="str">
        <f t="shared" si="20"/>
        <v>Bamboo</v>
      </c>
      <c r="U348" t="s">
        <v>746</v>
      </c>
      <c r="V348" s="4">
        <v>347</v>
      </c>
      <c r="W348" s="4" t="s">
        <v>598</v>
      </c>
      <c r="X348" s="4" t="str">
        <f t="shared" si="21"/>
        <v>47</v>
      </c>
      <c r="Y348" s="4" t="str">
        <f t="shared" si="22"/>
        <v>347</v>
      </c>
      <c r="Z348" s="4" t="str">
        <f t="shared" si="23"/>
        <v>1754310539</v>
      </c>
    </row>
    <row r="349" spans="1:26" x14ac:dyDescent="0.3">
      <c r="A349" s="4">
        <v>1754310542</v>
      </c>
      <c r="B349" s="4">
        <v>348</v>
      </c>
      <c r="C349" s="4" t="s">
        <v>602</v>
      </c>
      <c r="D349" s="4" t="s">
        <v>912</v>
      </c>
      <c r="E349" s="2">
        <v>499</v>
      </c>
      <c r="F349" s="2">
        <v>145</v>
      </c>
      <c r="G349" s="9">
        <v>0.7</v>
      </c>
      <c r="H349" s="4">
        <v>4</v>
      </c>
      <c r="I349" s="4" t="s">
        <v>13</v>
      </c>
      <c r="J349" s="4" t="s">
        <v>730</v>
      </c>
      <c r="K349" s="4" t="s">
        <v>737</v>
      </c>
      <c r="L349" s="4" t="s">
        <v>29</v>
      </c>
      <c r="M349" s="11" t="s">
        <v>949</v>
      </c>
      <c r="Q349" s="4" t="s">
        <v>180</v>
      </c>
      <c r="R349" t="str">
        <f t="shared" si="20"/>
        <v>Tree</v>
      </c>
      <c r="U349" t="s">
        <v>744</v>
      </c>
      <c r="V349" s="4">
        <v>348</v>
      </c>
      <c r="W349" s="4" t="s">
        <v>601</v>
      </c>
      <c r="X349" s="4" t="str">
        <f t="shared" si="21"/>
        <v>48</v>
      </c>
      <c r="Y349" s="4" t="str">
        <f t="shared" si="22"/>
        <v>348</v>
      </c>
      <c r="Z349" s="4" t="str">
        <f t="shared" si="23"/>
        <v>1754310542</v>
      </c>
    </row>
    <row r="350" spans="1:26" x14ac:dyDescent="0.3">
      <c r="A350" s="4">
        <v>1754310544</v>
      </c>
      <c r="B350" s="4">
        <v>349</v>
      </c>
      <c r="C350" s="4" t="s">
        <v>40</v>
      </c>
      <c r="D350" s="4" t="s">
        <v>752</v>
      </c>
      <c r="E350" s="2">
        <v>449</v>
      </c>
      <c r="F350" s="2">
        <v>335</v>
      </c>
      <c r="G350" s="9">
        <v>0.25</v>
      </c>
      <c r="H350" s="4">
        <v>4</v>
      </c>
      <c r="I350" s="4" t="s">
        <v>18</v>
      </c>
      <c r="J350" s="4" t="s">
        <v>724</v>
      </c>
      <c r="K350" s="4" t="s">
        <v>733</v>
      </c>
      <c r="L350" s="4" t="s">
        <v>23</v>
      </c>
      <c r="M350" s="11" t="s">
        <v>949</v>
      </c>
      <c r="Q350" s="4" t="s">
        <v>41</v>
      </c>
      <c r="R350" t="str">
        <f t="shared" si="20"/>
        <v>Succulent</v>
      </c>
      <c r="U350" t="s">
        <v>742</v>
      </c>
      <c r="V350" s="4">
        <v>349</v>
      </c>
      <c r="W350" s="4" t="s">
        <v>603</v>
      </c>
      <c r="X350" s="4" t="str">
        <f t="shared" si="21"/>
        <v>49</v>
      </c>
      <c r="Y350" s="4" t="str">
        <f t="shared" si="22"/>
        <v>349</v>
      </c>
      <c r="Z350" s="4" t="str">
        <f t="shared" si="23"/>
        <v>1754310544</v>
      </c>
    </row>
    <row r="351" spans="1:26" x14ac:dyDescent="0.3">
      <c r="A351" s="4">
        <v>1754310547</v>
      </c>
      <c r="B351" s="4">
        <v>350</v>
      </c>
      <c r="C351" s="4" t="s">
        <v>40</v>
      </c>
      <c r="D351" s="4" t="s">
        <v>752</v>
      </c>
      <c r="E351" s="2">
        <v>499</v>
      </c>
      <c r="F351" s="2">
        <v>426</v>
      </c>
      <c r="G351" s="9">
        <v>0.14000000000000001</v>
      </c>
      <c r="H351" s="4">
        <v>4.2</v>
      </c>
      <c r="I351" s="4" t="s">
        <v>18</v>
      </c>
      <c r="J351" s="4" t="s">
        <v>724</v>
      </c>
      <c r="K351" s="4" t="s">
        <v>733</v>
      </c>
      <c r="L351" s="4" t="s">
        <v>23</v>
      </c>
      <c r="M351" s="11" t="s">
        <v>949</v>
      </c>
      <c r="Q351" s="4" t="s">
        <v>41</v>
      </c>
      <c r="R351" t="str">
        <f t="shared" si="20"/>
        <v>Succulent</v>
      </c>
      <c r="U351" t="s">
        <v>742</v>
      </c>
      <c r="V351" s="4">
        <v>350</v>
      </c>
      <c r="W351" s="4" t="s">
        <v>604</v>
      </c>
      <c r="X351" s="4" t="str">
        <f t="shared" si="21"/>
        <v>50</v>
      </c>
      <c r="Y351" s="4" t="str">
        <f t="shared" si="22"/>
        <v>350</v>
      </c>
      <c r="Z351" s="4" t="str">
        <f t="shared" si="23"/>
        <v>1754310547</v>
      </c>
    </row>
    <row r="352" spans="1:26" x14ac:dyDescent="0.3">
      <c r="A352" s="4">
        <v>1754310549</v>
      </c>
      <c r="B352" s="4">
        <v>351</v>
      </c>
      <c r="C352" s="4" t="s">
        <v>606</v>
      </c>
      <c r="D352" s="4" t="s">
        <v>913</v>
      </c>
      <c r="E352" s="2">
        <v>399</v>
      </c>
      <c r="F352" s="2">
        <v>160</v>
      </c>
      <c r="G352" s="9">
        <v>0.59</v>
      </c>
      <c r="H352" s="4">
        <v>4</v>
      </c>
      <c r="I352" s="4" t="s">
        <v>13</v>
      </c>
      <c r="J352" s="4" t="s">
        <v>728</v>
      </c>
      <c r="K352" s="4" t="s">
        <v>732</v>
      </c>
      <c r="L352" s="4" t="s">
        <v>29</v>
      </c>
      <c r="M352" s="11" t="s">
        <v>949</v>
      </c>
      <c r="Q352" s="4" t="s">
        <v>68</v>
      </c>
      <c r="R352" t="str">
        <f t="shared" si="20"/>
        <v>Fruit</v>
      </c>
      <c r="U352" t="s">
        <v>744</v>
      </c>
      <c r="V352" s="4">
        <v>351</v>
      </c>
      <c r="W352" s="4" t="s">
        <v>605</v>
      </c>
      <c r="X352" s="4" t="str">
        <f t="shared" si="21"/>
        <v>51</v>
      </c>
      <c r="Y352" s="4" t="str">
        <f t="shared" si="22"/>
        <v>351</v>
      </c>
      <c r="Z352" s="4" t="str">
        <f t="shared" si="23"/>
        <v>1754310549</v>
      </c>
    </row>
    <row r="353" spans="1:26" x14ac:dyDescent="0.3">
      <c r="A353" s="4">
        <v>1754310552</v>
      </c>
      <c r="B353" s="4">
        <v>352</v>
      </c>
      <c r="C353" s="4" t="s">
        <v>608</v>
      </c>
      <c r="D353" s="4" t="s">
        <v>914</v>
      </c>
      <c r="E353" s="2">
        <v>499</v>
      </c>
      <c r="F353" s="2">
        <v>169</v>
      </c>
      <c r="G353" s="9">
        <v>0.66</v>
      </c>
      <c r="H353" s="4">
        <v>4</v>
      </c>
      <c r="I353" s="4" t="s">
        <v>13</v>
      </c>
      <c r="J353" s="4" t="s">
        <v>725</v>
      </c>
      <c r="K353" s="4" t="s">
        <v>733</v>
      </c>
      <c r="L353" s="4" t="s">
        <v>29</v>
      </c>
      <c r="M353" s="11" t="s">
        <v>949</v>
      </c>
      <c r="Q353" s="4" t="s">
        <v>47</v>
      </c>
      <c r="R353" t="str">
        <f t="shared" si="20"/>
        <v>Air purifier plant</v>
      </c>
      <c r="U353" t="s">
        <v>744</v>
      </c>
      <c r="V353" s="4">
        <v>352</v>
      </c>
      <c r="W353" s="4" t="s">
        <v>607</v>
      </c>
      <c r="X353" s="4" t="str">
        <f t="shared" si="21"/>
        <v>52</v>
      </c>
      <c r="Y353" s="4" t="str">
        <f t="shared" si="22"/>
        <v>352</v>
      </c>
      <c r="Z353" s="4" t="str">
        <f t="shared" si="23"/>
        <v>1754310552</v>
      </c>
    </row>
    <row r="354" spans="1:26" x14ac:dyDescent="0.3">
      <c r="A354" s="4">
        <v>1754310554</v>
      </c>
      <c r="B354" s="4">
        <v>353</v>
      </c>
      <c r="C354" s="4" t="s">
        <v>40</v>
      </c>
      <c r="D354" s="4" t="s">
        <v>752</v>
      </c>
      <c r="E354" s="2">
        <v>499</v>
      </c>
      <c r="F354" s="2">
        <v>335</v>
      </c>
      <c r="G354" s="9">
        <v>0.32</v>
      </c>
      <c r="H354" s="4">
        <v>4</v>
      </c>
      <c r="I354" s="4" t="s">
        <v>18</v>
      </c>
      <c r="J354" s="4" t="s">
        <v>724</v>
      </c>
      <c r="K354" s="4" t="s">
        <v>733</v>
      </c>
      <c r="L354" s="4" t="s">
        <v>23</v>
      </c>
      <c r="M354" s="11" t="s">
        <v>949</v>
      </c>
      <c r="Q354" s="4" t="s">
        <v>41</v>
      </c>
      <c r="R354" t="str">
        <f t="shared" si="20"/>
        <v>Succulent</v>
      </c>
      <c r="U354" t="s">
        <v>742</v>
      </c>
      <c r="V354" s="4">
        <v>353</v>
      </c>
      <c r="W354" s="4" t="s">
        <v>609</v>
      </c>
      <c r="X354" s="4" t="str">
        <f t="shared" si="21"/>
        <v>53</v>
      </c>
      <c r="Y354" s="4" t="str">
        <f t="shared" si="22"/>
        <v>353</v>
      </c>
      <c r="Z354" s="4" t="str">
        <f t="shared" si="23"/>
        <v>1754310554</v>
      </c>
    </row>
    <row r="355" spans="1:26" x14ac:dyDescent="0.3">
      <c r="A355" s="4">
        <v>1754310557</v>
      </c>
      <c r="B355" s="4">
        <v>354</v>
      </c>
      <c r="C355" s="4" t="s">
        <v>21</v>
      </c>
      <c r="D355" s="4" t="s">
        <v>745</v>
      </c>
      <c r="E355" s="2">
        <v>445</v>
      </c>
      <c r="F355" s="2">
        <v>335</v>
      </c>
      <c r="G355" s="9">
        <v>0.24</v>
      </c>
      <c r="H355" s="4">
        <v>4.4000000000000004</v>
      </c>
      <c r="I355" s="4" t="s">
        <v>18</v>
      </c>
      <c r="J355" s="4" t="s">
        <v>722</v>
      </c>
      <c r="K355" s="4" t="s">
        <v>733</v>
      </c>
      <c r="L355" s="4" t="s">
        <v>23</v>
      </c>
      <c r="M355" s="11" t="s">
        <v>949</v>
      </c>
      <c r="Q355" s="4" t="s">
        <v>22</v>
      </c>
      <c r="R355" t="str">
        <f t="shared" si="20"/>
        <v>Shrub</v>
      </c>
      <c r="U355" t="s">
        <v>746</v>
      </c>
      <c r="V355" s="4">
        <v>354</v>
      </c>
      <c r="W355" s="4" t="s">
        <v>610</v>
      </c>
      <c r="X355" s="4" t="str">
        <f t="shared" si="21"/>
        <v>54</v>
      </c>
      <c r="Y355" s="4" t="str">
        <f t="shared" si="22"/>
        <v>354</v>
      </c>
      <c r="Z355" s="4" t="str">
        <f t="shared" si="23"/>
        <v>1754310557</v>
      </c>
    </row>
    <row r="356" spans="1:26" x14ac:dyDescent="0.3">
      <c r="A356" s="4">
        <v>1754310559</v>
      </c>
      <c r="B356" s="4">
        <v>355</v>
      </c>
      <c r="C356" s="4" t="s">
        <v>612</v>
      </c>
      <c r="D356" s="4" t="s">
        <v>915</v>
      </c>
      <c r="E356" s="2">
        <v>699</v>
      </c>
      <c r="F356" s="2">
        <v>297</v>
      </c>
      <c r="G356" s="9">
        <v>0.56999999999999995</v>
      </c>
      <c r="H356" s="4">
        <v>4.2</v>
      </c>
      <c r="I356" s="4" t="s">
        <v>18</v>
      </c>
      <c r="J356" s="4" t="s">
        <v>727</v>
      </c>
      <c r="K356" s="4" t="s">
        <v>733</v>
      </c>
      <c r="L356" s="4" t="s">
        <v>613</v>
      </c>
      <c r="M356" s="11" t="s">
        <v>949</v>
      </c>
      <c r="Q356" s="4" t="s">
        <v>56</v>
      </c>
      <c r="R356" t="str">
        <f t="shared" si="20"/>
        <v>Bamboo</v>
      </c>
      <c r="U356" t="s">
        <v>746</v>
      </c>
      <c r="V356" s="4">
        <v>355</v>
      </c>
      <c r="W356" s="4" t="s">
        <v>611</v>
      </c>
      <c r="X356" s="4" t="str">
        <f t="shared" si="21"/>
        <v>55</v>
      </c>
      <c r="Y356" s="4" t="str">
        <f t="shared" si="22"/>
        <v>355</v>
      </c>
      <c r="Z356" s="4" t="str">
        <f t="shared" si="23"/>
        <v>1754310559</v>
      </c>
    </row>
    <row r="357" spans="1:26" x14ac:dyDescent="0.3">
      <c r="A357" s="4">
        <v>1754310562</v>
      </c>
      <c r="B357" s="4">
        <v>356</v>
      </c>
      <c r="C357" s="4" t="s">
        <v>615</v>
      </c>
      <c r="D357" s="4" t="s">
        <v>916</v>
      </c>
      <c r="E357" s="2">
        <v>299</v>
      </c>
      <c r="F357" s="2">
        <v>145</v>
      </c>
      <c r="G357" s="9">
        <v>0.51</v>
      </c>
      <c r="H357" s="4">
        <v>1.8</v>
      </c>
      <c r="I357" s="4" t="s">
        <v>18</v>
      </c>
      <c r="J357" s="4" t="s">
        <v>721</v>
      </c>
      <c r="K357" s="4" t="s">
        <v>737</v>
      </c>
      <c r="L357" s="4" t="s">
        <v>29</v>
      </c>
      <c r="M357" s="11" t="s">
        <v>949</v>
      </c>
      <c r="Q357" s="4" t="s">
        <v>14</v>
      </c>
      <c r="R357" t="str">
        <f t="shared" si="20"/>
        <v>Bonsai</v>
      </c>
      <c r="U357" t="s">
        <v>742</v>
      </c>
      <c r="V357" s="4">
        <v>356</v>
      </c>
      <c r="W357" s="4" t="s">
        <v>614</v>
      </c>
      <c r="X357" s="4" t="str">
        <f t="shared" si="21"/>
        <v>56</v>
      </c>
      <c r="Y357" s="4" t="str">
        <f t="shared" si="22"/>
        <v>356</v>
      </c>
      <c r="Z357" s="4" t="str">
        <f t="shared" si="23"/>
        <v>1754310562</v>
      </c>
    </row>
    <row r="358" spans="1:26" x14ac:dyDescent="0.3">
      <c r="A358" s="4">
        <v>1754310565</v>
      </c>
      <c r="B358" s="4">
        <v>357</v>
      </c>
      <c r="C358" s="4" t="s">
        <v>617</v>
      </c>
      <c r="D358" s="4" t="s">
        <v>917</v>
      </c>
      <c r="E358" s="2">
        <v>499</v>
      </c>
      <c r="F358" s="2">
        <v>198</v>
      </c>
      <c r="G358" s="9">
        <v>0.6</v>
      </c>
      <c r="H358" s="4">
        <v>4</v>
      </c>
      <c r="I358" s="4" t="s">
        <v>13</v>
      </c>
      <c r="J358" s="4" t="s">
        <v>730</v>
      </c>
      <c r="K358" s="4" t="s">
        <v>737</v>
      </c>
      <c r="L358" s="4" t="s">
        <v>618</v>
      </c>
      <c r="M358" s="11" t="s">
        <v>949</v>
      </c>
      <c r="Q358" s="4" t="s">
        <v>180</v>
      </c>
      <c r="R358" t="str">
        <f t="shared" si="20"/>
        <v>Tree</v>
      </c>
      <c r="U358" t="s">
        <v>742</v>
      </c>
      <c r="V358" s="4">
        <v>357</v>
      </c>
      <c r="W358" s="4" t="s">
        <v>616</v>
      </c>
      <c r="X358" s="4" t="str">
        <f t="shared" si="21"/>
        <v>57</v>
      </c>
      <c r="Y358" s="4" t="str">
        <f t="shared" si="22"/>
        <v>357</v>
      </c>
      <c r="Z358" s="4" t="str">
        <f t="shared" si="23"/>
        <v>1754310565</v>
      </c>
    </row>
    <row r="359" spans="1:26" x14ac:dyDescent="0.3">
      <c r="A359" s="4">
        <v>1754310567</v>
      </c>
      <c r="B359" s="4">
        <v>358</v>
      </c>
      <c r="C359" s="4" t="s">
        <v>128</v>
      </c>
      <c r="D359" s="4" t="s">
        <v>775</v>
      </c>
      <c r="E359" s="2">
        <v>299</v>
      </c>
      <c r="F359" s="2">
        <v>145</v>
      </c>
      <c r="G359" s="9">
        <v>0.51</v>
      </c>
      <c r="H359" s="4">
        <v>1.7</v>
      </c>
      <c r="I359" s="4" t="s">
        <v>18</v>
      </c>
      <c r="J359" s="4" t="s">
        <v>721</v>
      </c>
      <c r="K359" s="4" t="s">
        <v>737</v>
      </c>
      <c r="L359" s="4" t="s">
        <v>29</v>
      </c>
      <c r="M359" s="11" t="s">
        <v>949</v>
      </c>
      <c r="Q359" s="4" t="s">
        <v>14</v>
      </c>
      <c r="R359" t="str">
        <f t="shared" si="20"/>
        <v>Bonsai</v>
      </c>
      <c r="U359" t="s">
        <v>742</v>
      </c>
      <c r="V359" s="4">
        <v>358</v>
      </c>
      <c r="W359" s="4" t="s">
        <v>619</v>
      </c>
      <c r="X359" s="4" t="str">
        <f t="shared" si="21"/>
        <v>58</v>
      </c>
      <c r="Y359" s="4" t="str">
        <f t="shared" si="22"/>
        <v>358</v>
      </c>
      <c r="Z359" s="4" t="str">
        <f t="shared" si="23"/>
        <v>1754310567</v>
      </c>
    </row>
    <row r="360" spans="1:26" x14ac:dyDescent="0.3">
      <c r="A360" s="4">
        <v>1754310570</v>
      </c>
      <c r="B360" s="4">
        <v>359</v>
      </c>
      <c r="C360" s="4" t="s">
        <v>40</v>
      </c>
      <c r="D360" s="4" t="s">
        <v>752</v>
      </c>
      <c r="E360" s="2">
        <v>495</v>
      </c>
      <c r="F360" s="2">
        <v>331</v>
      </c>
      <c r="G360" s="9">
        <v>0.33</v>
      </c>
      <c r="H360" s="4">
        <v>4.0999999999999996</v>
      </c>
      <c r="I360" s="4" t="s">
        <v>18</v>
      </c>
      <c r="J360" s="4" t="s">
        <v>724</v>
      </c>
      <c r="K360" s="4" t="s">
        <v>733</v>
      </c>
      <c r="L360" s="4" t="s">
        <v>23</v>
      </c>
      <c r="M360" s="11" t="s">
        <v>949</v>
      </c>
      <c r="Q360" s="4" t="s">
        <v>41</v>
      </c>
      <c r="R360" t="str">
        <f t="shared" si="20"/>
        <v>Succulent</v>
      </c>
      <c r="U360" t="s">
        <v>742</v>
      </c>
      <c r="V360" s="4">
        <v>359</v>
      </c>
      <c r="W360" s="4" t="s">
        <v>620</v>
      </c>
      <c r="X360" s="4" t="str">
        <f t="shared" si="21"/>
        <v>59</v>
      </c>
      <c r="Y360" s="4" t="str">
        <f t="shared" si="22"/>
        <v>359</v>
      </c>
      <c r="Z360" s="4" t="str">
        <f t="shared" si="23"/>
        <v>1754310570</v>
      </c>
    </row>
    <row r="361" spans="1:26" x14ac:dyDescent="0.3">
      <c r="A361" s="4">
        <v>1754310572</v>
      </c>
      <c r="B361" s="4">
        <v>360</v>
      </c>
      <c r="C361" s="4" t="s">
        <v>40</v>
      </c>
      <c r="D361" s="4" t="s">
        <v>752</v>
      </c>
      <c r="E361" s="2">
        <v>349</v>
      </c>
      <c r="F361" s="2">
        <v>325</v>
      </c>
      <c r="G361" s="9">
        <v>0.06</v>
      </c>
      <c r="H361" s="4">
        <v>4</v>
      </c>
      <c r="I361" s="4" t="s">
        <v>18</v>
      </c>
      <c r="J361" s="4" t="s">
        <v>724</v>
      </c>
      <c r="K361" s="4" t="s">
        <v>733</v>
      </c>
      <c r="L361" s="4" t="s">
        <v>23</v>
      </c>
      <c r="M361" s="11" t="s">
        <v>949</v>
      </c>
      <c r="Q361" s="4" t="s">
        <v>41</v>
      </c>
      <c r="R361" t="str">
        <f t="shared" si="20"/>
        <v>Succulent</v>
      </c>
      <c r="U361" t="s">
        <v>746</v>
      </c>
      <c r="V361" s="4">
        <v>360</v>
      </c>
      <c r="W361" s="4" t="s">
        <v>621</v>
      </c>
      <c r="X361" s="4" t="str">
        <f t="shared" si="21"/>
        <v>60</v>
      </c>
      <c r="Y361" s="4" t="str">
        <f t="shared" si="22"/>
        <v>360</v>
      </c>
      <c r="Z361" s="4" t="str">
        <f t="shared" si="23"/>
        <v>1754310572</v>
      </c>
    </row>
    <row r="362" spans="1:26" x14ac:dyDescent="0.3">
      <c r="A362" s="4">
        <v>1754310578</v>
      </c>
      <c r="B362" s="4">
        <v>361</v>
      </c>
      <c r="C362" s="4" t="s">
        <v>59</v>
      </c>
      <c r="D362" s="4" t="s">
        <v>757</v>
      </c>
      <c r="E362" s="2">
        <v>299</v>
      </c>
      <c r="F362" s="2">
        <v>145</v>
      </c>
      <c r="G362" s="9">
        <v>0.51</v>
      </c>
      <c r="H362" s="4">
        <v>3.5</v>
      </c>
      <c r="I362" s="4" t="s">
        <v>13</v>
      </c>
      <c r="J362" s="4" t="s">
        <v>723</v>
      </c>
      <c r="K362" s="4" t="s">
        <v>732</v>
      </c>
      <c r="L362" s="4" t="s">
        <v>121</v>
      </c>
      <c r="M362" s="11" t="s">
        <v>949</v>
      </c>
      <c r="Q362" s="4" t="s">
        <v>28</v>
      </c>
      <c r="R362" t="str">
        <f t="shared" si="20"/>
        <v>Herb</v>
      </c>
      <c r="U362" t="s">
        <v>742</v>
      </c>
      <c r="V362" s="4">
        <v>361</v>
      </c>
      <c r="W362" s="4" t="s">
        <v>622</v>
      </c>
      <c r="X362" s="4" t="str">
        <f t="shared" si="21"/>
        <v>61</v>
      </c>
      <c r="Y362" s="4" t="str">
        <f t="shared" si="22"/>
        <v>361</v>
      </c>
      <c r="Z362" s="4" t="str">
        <f t="shared" si="23"/>
        <v>1754310578</v>
      </c>
    </row>
    <row r="363" spans="1:26" x14ac:dyDescent="0.3">
      <c r="A363" s="4">
        <v>1754310580</v>
      </c>
      <c r="B363" s="4">
        <v>362</v>
      </c>
      <c r="C363" s="4" t="s">
        <v>408</v>
      </c>
      <c r="D363" s="4" t="s">
        <v>867</v>
      </c>
      <c r="E363" s="2">
        <v>399</v>
      </c>
      <c r="F363" s="2">
        <v>140</v>
      </c>
      <c r="G363" s="9">
        <v>0.64</v>
      </c>
      <c r="H363" s="4">
        <v>3.6</v>
      </c>
      <c r="I363" s="4" t="s">
        <v>18</v>
      </c>
      <c r="J363" s="4" t="s">
        <v>728</v>
      </c>
      <c r="K363" s="4" t="s">
        <v>737</v>
      </c>
      <c r="L363" s="4" t="s">
        <v>15</v>
      </c>
      <c r="M363" s="11" t="s">
        <v>949</v>
      </c>
      <c r="Q363" s="4" t="s">
        <v>68</v>
      </c>
      <c r="R363" t="str">
        <f t="shared" si="20"/>
        <v>Fruit</v>
      </c>
      <c r="U363" t="s">
        <v>742</v>
      </c>
      <c r="V363" s="4">
        <v>362</v>
      </c>
      <c r="W363" s="4" t="s">
        <v>623</v>
      </c>
      <c r="X363" s="4" t="str">
        <f t="shared" si="21"/>
        <v>62</v>
      </c>
      <c r="Y363" s="4" t="str">
        <f t="shared" si="22"/>
        <v>362</v>
      </c>
      <c r="Z363" s="4" t="str">
        <f t="shared" si="23"/>
        <v>1754310580</v>
      </c>
    </row>
    <row r="364" spans="1:26" x14ac:dyDescent="0.3">
      <c r="A364" s="4">
        <v>1754310583</v>
      </c>
      <c r="B364" s="4">
        <v>363</v>
      </c>
      <c r="C364" s="4" t="s">
        <v>25</v>
      </c>
      <c r="D364" s="4" t="s">
        <v>747</v>
      </c>
      <c r="E364" s="2">
        <v>449</v>
      </c>
      <c r="F364" s="2">
        <v>349</v>
      </c>
      <c r="G364" s="9">
        <v>0.22</v>
      </c>
      <c r="H364" s="4">
        <v>4.3</v>
      </c>
      <c r="I364" s="4" t="s">
        <v>18</v>
      </c>
      <c r="J364" s="4" t="s">
        <v>722</v>
      </c>
      <c r="K364" s="4" t="s">
        <v>733</v>
      </c>
      <c r="L364" s="4" t="s">
        <v>23</v>
      </c>
      <c r="M364" s="11" t="s">
        <v>949</v>
      </c>
      <c r="Q364" s="4" t="s">
        <v>22</v>
      </c>
      <c r="R364" t="str">
        <f t="shared" si="20"/>
        <v>Shrub</v>
      </c>
      <c r="U364" t="s">
        <v>746</v>
      </c>
      <c r="V364" s="4">
        <v>363</v>
      </c>
      <c r="W364" s="4" t="s">
        <v>624</v>
      </c>
      <c r="X364" s="4" t="str">
        <f t="shared" si="21"/>
        <v>63</v>
      </c>
      <c r="Y364" s="4" t="str">
        <f t="shared" si="22"/>
        <v>363</v>
      </c>
      <c r="Z364" s="4" t="str">
        <f t="shared" si="23"/>
        <v>1754310583</v>
      </c>
    </row>
    <row r="365" spans="1:26" x14ac:dyDescent="0.3">
      <c r="A365" s="4">
        <v>1754310586</v>
      </c>
      <c r="B365" s="4">
        <v>364</v>
      </c>
      <c r="C365" s="4" t="s">
        <v>21</v>
      </c>
      <c r="D365" s="4" t="s">
        <v>745</v>
      </c>
      <c r="E365" s="2">
        <v>449</v>
      </c>
      <c r="F365" s="2">
        <v>384</v>
      </c>
      <c r="G365" s="9">
        <v>0.14000000000000001</v>
      </c>
      <c r="H365" s="4">
        <v>4.4000000000000004</v>
      </c>
      <c r="I365" s="4" t="s">
        <v>18</v>
      </c>
      <c r="J365" s="4" t="s">
        <v>722</v>
      </c>
      <c r="K365" s="4" t="s">
        <v>733</v>
      </c>
      <c r="L365" s="4" t="s">
        <v>23</v>
      </c>
      <c r="M365" s="11" t="s">
        <v>949</v>
      </c>
      <c r="Q365" s="4" t="s">
        <v>22</v>
      </c>
      <c r="R365" t="str">
        <f t="shared" si="20"/>
        <v>Shrub</v>
      </c>
      <c r="U365" t="s">
        <v>746</v>
      </c>
      <c r="V365" s="4">
        <v>364</v>
      </c>
      <c r="W365" s="4" t="s">
        <v>625</v>
      </c>
      <c r="X365" s="4" t="str">
        <f t="shared" si="21"/>
        <v>64</v>
      </c>
      <c r="Y365" s="4" t="str">
        <f t="shared" si="22"/>
        <v>364</v>
      </c>
      <c r="Z365" s="4" t="str">
        <f t="shared" si="23"/>
        <v>1754310586</v>
      </c>
    </row>
    <row r="366" spans="1:26" x14ac:dyDescent="0.3">
      <c r="A366" s="4">
        <v>1754310588</v>
      </c>
      <c r="B366" s="4">
        <v>365</v>
      </c>
      <c r="C366" s="4" t="s">
        <v>528</v>
      </c>
      <c r="D366" s="4" t="s">
        <v>900</v>
      </c>
      <c r="E366" s="2">
        <v>299</v>
      </c>
      <c r="F366" s="2">
        <v>145</v>
      </c>
      <c r="G366" s="9">
        <v>0.51</v>
      </c>
      <c r="H366" s="4">
        <v>3.1</v>
      </c>
      <c r="I366" s="4" t="s">
        <v>13</v>
      </c>
      <c r="J366" s="4" t="s">
        <v>728</v>
      </c>
      <c r="K366" s="4" t="s">
        <v>732</v>
      </c>
      <c r="L366" s="4" t="s">
        <v>29</v>
      </c>
      <c r="M366" s="11" t="s">
        <v>949</v>
      </c>
      <c r="Q366" s="4" t="s">
        <v>68</v>
      </c>
      <c r="R366" t="str">
        <f t="shared" si="20"/>
        <v>Fruit</v>
      </c>
      <c r="U366" t="s">
        <v>742</v>
      </c>
      <c r="V366" s="4">
        <v>365</v>
      </c>
      <c r="W366" s="4" t="s">
        <v>626</v>
      </c>
      <c r="X366" s="4" t="str">
        <f t="shared" si="21"/>
        <v>65</v>
      </c>
      <c r="Y366" s="4" t="str">
        <f t="shared" si="22"/>
        <v>365</v>
      </c>
      <c r="Z366" s="4" t="str">
        <f t="shared" si="23"/>
        <v>1754310588</v>
      </c>
    </row>
    <row r="367" spans="1:26" x14ac:dyDescent="0.3">
      <c r="A367" s="4">
        <v>1754310591</v>
      </c>
      <c r="B367" s="4">
        <v>366</v>
      </c>
      <c r="C367" s="4" t="s">
        <v>433</v>
      </c>
      <c r="D367" s="4" t="s">
        <v>875</v>
      </c>
      <c r="E367" s="2">
        <v>699</v>
      </c>
      <c r="F367" s="2">
        <v>212</v>
      </c>
      <c r="G367" s="9">
        <v>0.69</v>
      </c>
      <c r="H367" s="4">
        <v>4</v>
      </c>
      <c r="I367" s="4" t="s">
        <v>13</v>
      </c>
      <c r="J367" s="4" t="s">
        <v>725</v>
      </c>
      <c r="K367" s="4" t="s">
        <v>737</v>
      </c>
      <c r="L367" s="4" t="s">
        <v>434</v>
      </c>
      <c r="M367" s="11" t="s">
        <v>949</v>
      </c>
      <c r="Q367" s="4" t="s">
        <v>47</v>
      </c>
      <c r="R367" t="str">
        <f t="shared" si="20"/>
        <v>Air purifier plant</v>
      </c>
      <c r="U367" t="s">
        <v>742</v>
      </c>
      <c r="V367" s="4">
        <v>366</v>
      </c>
      <c r="W367" s="4" t="s">
        <v>627</v>
      </c>
      <c r="X367" s="4" t="str">
        <f t="shared" si="21"/>
        <v>66</v>
      </c>
      <c r="Y367" s="4" t="str">
        <f t="shared" si="22"/>
        <v>366</v>
      </c>
      <c r="Z367" s="4" t="str">
        <f t="shared" si="23"/>
        <v>1754310591</v>
      </c>
    </row>
    <row r="368" spans="1:26" x14ac:dyDescent="0.3">
      <c r="A368" s="4">
        <v>1754310593</v>
      </c>
      <c r="B368" s="4">
        <v>367</v>
      </c>
      <c r="C368" s="4" t="s">
        <v>606</v>
      </c>
      <c r="D368" s="4" t="s">
        <v>913</v>
      </c>
      <c r="E368" s="2">
        <v>399</v>
      </c>
      <c r="F368" s="2">
        <v>160</v>
      </c>
      <c r="G368" s="9">
        <v>0.59</v>
      </c>
      <c r="H368" s="4">
        <v>3.1</v>
      </c>
      <c r="I368" s="4" t="s">
        <v>13</v>
      </c>
      <c r="J368" s="4" t="s">
        <v>728</v>
      </c>
      <c r="K368" s="4" t="s">
        <v>732</v>
      </c>
      <c r="L368" s="4" t="s">
        <v>29</v>
      </c>
      <c r="M368" s="11" t="s">
        <v>949</v>
      </c>
      <c r="Q368" s="4" t="s">
        <v>68</v>
      </c>
      <c r="R368" t="str">
        <f t="shared" si="20"/>
        <v>Fruit</v>
      </c>
      <c r="U368" t="s">
        <v>742</v>
      </c>
      <c r="V368" s="4">
        <v>367</v>
      </c>
      <c r="W368" s="4" t="s">
        <v>628</v>
      </c>
      <c r="X368" s="4" t="str">
        <f t="shared" si="21"/>
        <v>67</v>
      </c>
      <c r="Y368" s="4" t="str">
        <f t="shared" si="22"/>
        <v>367</v>
      </c>
      <c r="Z368" s="4" t="str">
        <f t="shared" si="23"/>
        <v>1754310593</v>
      </c>
    </row>
    <row r="369" spans="1:26" x14ac:dyDescent="0.3">
      <c r="A369" s="4">
        <v>1754310596</v>
      </c>
      <c r="B369" s="4">
        <v>368</v>
      </c>
      <c r="C369" s="4" t="s">
        <v>284</v>
      </c>
      <c r="D369" s="4" t="s">
        <v>821</v>
      </c>
      <c r="E369" s="2">
        <v>399</v>
      </c>
      <c r="F369" s="2">
        <v>145</v>
      </c>
      <c r="G369" s="9">
        <v>0.63</v>
      </c>
      <c r="H369" s="4">
        <v>3.7</v>
      </c>
      <c r="I369" s="4" t="s">
        <v>13</v>
      </c>
      <c r="J369" s="4" t="s">
        <v>728</v>
      </c>
      <c r="K369" s="4" t="s">
        <v>732</v>
      </c>
      <c r="L369" s="4" t="s">
        <v>29</v>
      </c>
      <c r="M369" s="11" t="s">
        <v>949</v>
      </c>
      <c r="Q369" s="4" t="s">
        <v>68</v>
      </c>
      <c r="R369" t="str">
        <f t="shared" si="20"/>
        <v>Fruit</v>
      </c>
      <c r="U369" t="s">
        <v>742</v>
      </c>
      <c r="V369" s="4">
        <v>368</v>
      </c>
      <c r="W369" s="4" t="s">
        <v>629</v>
      </c>
      <c r="X369" s="4" t="str">
        <f t="shared" si="21"/>
        <v>68</v>
      </c>
      <c r="Y369" s="4" t="str">
        <f t="shared" si="22"/>
        <v>368</v>
      </c>
      <c r="Z369" s="4" t="str">
        <f t="shared" si="23"/>
        <v>1754310596</v>
      </c>
    </row>
    <row r="370" spans="1:26" x14ac:dyDescent="0.3">
      <c r="A370" s="4">
        <v>1754310598</v>
      </c>
      <c r="B370" s="4">
        <v>369</v>
      </c>
      <c r="C370" s="4" t="s">
        <v>40</v>
      </c>
      <c r="D370" s="4" t="s">
        <v>752</v>
      </c>
      <c r="E370" s="2">
        <v>499</v>
      </c>
      <c r="F370" s="2">
        <v>335</v>
      </c>
      <c r="G370" s="9">
        <v>0.32</v>
      </c>
      <c r="H370" s="4">
        <v>4</v>
      </c>
      <c r="I370" s="4" t="s">
        <v>18</v>
      </c>
      <c r="J370" s="4" t="s">
        <v>724</v>
      </c>
      <c r="K370" s="4" t="s">
        <v>733</v>
      </c>
      <c r="L370" s="4" t="s">
        <v>23</v>
      </c>
      <c r="M370" s="11" t="s">
        <v>949</v>
      </c>
      <c r="Q370" s="4" t="s">
        <v>41</v>
      </c>
      <c r="R370" t="str">
        <f t="shared" si="20"/>
        <v>Succulent</v>
      </c>
      <c r="U370" t="s">
        <v>742</v>
      </c>
      <c r="V370" s="4">
        <v>369</v>
      </c>
      <c r="W370" s="4" t="s">
        <v>630</v>
      </c>
      <c r="X370" s="4" t="str">
        <f t="shared" si="21"/>
        <v>69</v>
      </c>
      <c r="Y370" s="4" t="str">
        <f t="shared" si="22"/>
        <v>369</v>
      </c>
      <c r="Z370" s="4" t="str">
        <f t="shared" si="23"/>
        <v>1754310598</v>
      </c>
    </row>
    <row r="371" spans="1:26" x14ac:dyDescent="0.3">
      <c r="A371" s="4">
        <v>1754310601</v>
      </c>
      <c r="B371" s="4">
        <v>370</v>
      </c>
      <c r="C371" s="4" t="s">
        <v>40</v>
      </c>
      <c r="D371" s="4" t="s">
        <v>752</v>
      </c>
      <c r="E371" s="2">
        <v>749</v>
      </c>
      <c r="F371" s="2">
        <v>516</v>
      </c>
      <c r="G371" s="9">
        <v>0.31</v>
      </c>
      <c r="H371" s="4">
        <v>3.6</v>
      </c>
      <c r="I371" s="4" t="s">
        <v>18</v>
      </c>
      <c r="J371" s="4" t="s">
        <v>724</v>
      </c>
      <c r="K371" s="4" t="s">
        <v>733</v>
      </c>
      <c r="L371" s="4" t="s">
        <v>23</v>
      </c>
      <c r="M371" s="11" t="s">
        <v>949</v>
      </c>
      <c r="Q371" s="4" t="s">
        <v>41</v>
      </c>
      <c r="R371" t="str">
        <f t="shared" si="20"/>
        <v>Succulent</v>
      </c>
      <c r="U371" t="s">
        <v>742</v>
      </c>
      <c r="V371" s="4">
        <v>370</v>
      </c>
      <c r="W371" s="4" t="s">
        <v>631</v>
      </c>
      <c r="X371" s="4" t="str">
        <f t="shared" si="21"/>
        <v>70</v>
      </c>
      <c r="Y371" s="4" t="str">
        <f t="shared" si="22"/>
        <v>370</v>
      </c>
      <c r="Z371" s="4" t="str">
        <f t="shared" si="23"/>
        <v>1754310601</v>
      </c>
    </row>
    <row r="372" spans="1:26" x14ac:dyDescent="0.3">
      <c r="A372" s="4">
        <v>1754310604</v>
      </c>
      <c r="B372" s="4">
        <v>371</v>
      </c>
      <c r="C372" s="4" t="s">
        <v>633</v>
      </c>
      <c r="D372" s="4" t="s">
        <v>918</v>
      </c>
      <c r="E372" s="2">
        <v>299</v>
      </c>
      <c r="F372" s="2">
        <v>145</v>
      </c>
      <c r="G372" s="9">
        <v>0.51</v>
      </c>
      <c r="H372" s="4">
        <v>3.3</v>
      </c>
      <c r="I372" s="4" t="s">
        <v>13</v>
      </c>
      <c r="J372" s="4" t="s">
        <v>728</v>
      </c>
      <c r="K372" s="4" t="s">
        <v>732</v>
      </c>
      <c r="L372" s="4" t="s">
        <v>29</v>
      </c>
      <c r="M372" s="11" t="s">
        <v>949</v>
      </c>
      <c r="Q372" s="4" t="s">
        <v>68</v>
      </c>
      <c r="R372" t="str">
        <f t="shared" si="20"/>
        <v>Fruit</v>
      </c>
      <c r="U372" t="s">
        <v>742</v>
      </c>
      <c r="V372" s="4">
        <v>371</v>
      </c>
      <c r="W372" s="4" t="s">
        <v>632</v>
      </c>
      <c r="X372" s="4" t="str">
        <f t="shared" si="21"/>
        <v>71</v>
      </c>
      <c r="Y372" s="4" t="str">
        <f t="shared" si="22"/>
        <v>371</v>
      </c>
      <c r="Z372" s="4" t="str">
        <f t="shared" si="23"/>
        <v>1754310604</v>
      </c>
    </row>
    <row r="373" spans="1:26" x14ac:dyDescent="0.3">
      <c r="A373" s="4">
        <v>1754310606</v>
      </c>
      <c r="B373" s="4">
        <v>372</v>
      </c>
      <c r="C373" s="4" t="s">
        <v>541</v>
      </c>
      <c r="D373" s="4" t="s">
        <v>904</v>
      </c>
      <c r="E373" s="2">
        <v>499</v>
      </c>
      <c r="F373" s="2">
        <v>177</v>
      </c>
      <c r="G373" s="9">
        <v>0.64</v>
      </c>
      <c r="H373" s="4">
        <v>4</v>
      </c>
      <c r="I373" s="4" t="s">
        <v>13</v>
      </c>
      <c r="J373" s="4" t="s">
        <v>729</v>
      </c>
      <c r="K373" s="4" t="s">
        <v>732</v>
      </c>
      <c r="L373" s="4" t="s">
        <v>29</v>
      </c>
      <c r="M373" s="11" t="s">
        <v>949</v>
      </c>
      <c r="Q373" s="4" t="s">
        <v>177</v>
      </c>
      <c r="R373" t="str">
        <f t="shared" si="20"/>
        <v>Flower</v>
      </c>
      <c r="U373" t="s">
        <v>788</v>
      </c>
      <c r="V373" s="4">
        <v>372</v>
      </c>
      <c r="W373" s="4" t="s">
        <v>634</v>
      </c>
      <c r="X373" s="4" t="str">
        <f t="shared" si="21"/>
        <v>72</v>
      </c>
      <c r="Y373" s="4" t="str">
        <f t="shared" si="22"/>
        <v>372</v>
      </c>
      <c r="Z373" s="4" t="str">
        <f t="shared" si="23"/>
        <v>1754310606</v>
      </c>
    </row>
    <row r="374" spans="1:26" x14ac:dyDescent="0.3">
      <c r="A374" s="4">
        <v>1754310609</v>
      </c>
      <c r="B374" s="4">
        <v>373</v>
      </c>
      <c r="C374" s="4" t="s">
        <v>50</v>
      </c>
      <c r="D374" s="4" t="s">
        <v>755</v>
      </c>
      <c r="E374" s="2">
        <v>549</v>
      </c>
      <c r="F374" s="2">
        <v>388</v>
      </c>
      <c r="G374" s="9">
        <v>0.28999999999999998</v>
      </c>
      <c r="H374" s="4">
        <v>4.3</v>
      </c>
      <c r="I374" s="4" t="s">
        <v>18</v>
      </c>
      <c r="J374" s="4" t="s">
        <v>726</v>
      </c>
      <c r="K374" s="4" t="s">
        <v>733</v>
      </c>
      <c r="L374" s="4" t="s">
        <v>23</v>
      </c>
      <c r="M374" s="11" t="s">
        <v>949</v>
      </c>
      <c r="Q374" s="4" t="s">
        <v>51</v>
      </c>
      <c r="R374" t="str">
        <f t="shared" si="20"/>
        <v>Foliage</v>
      </c>
      <c r="U374" t="s">
        <v>742</v>
      </c>
      <c r="V374" s="4">
        <v>373</v>
      </c>
      <c r="W374" s="4" t="s">
        <v>635</v>
      </c>
      <c r="X374" s="4" t="str">
        <f t="shared" si="21"/>
        <v>73</v>
      </c>
      <c r="Y374" s="4" t="str">
        <f t="shared" si="22"/>
        <v>373</v>
      </c>
      <c r="Z374" s="4" t="str">
        <f t="shared" si="23"/>
        <v>1754310609</v>
      </c>
    </row>
    <row r="375" spans="1:26" x14ac:dyDescent="0.3">
      <c r="A375" s="4">
        <v>1754310611</v>
      </c>
      <c r="B375" s="4">
        <v>374</v>
      </c>
      <c r="C375" s="4" t="s">
        <v>25</v>
      </c>
      <c r="D375" s="4" t="s">
        <v>747</v>
      </c>
      <c r="E375" s="2">
        <v>449</v>
      </c>
      <c r="F375" s="2">
        <v>349</v>
      </c>
      <c r="G375" s="9">
        <v>0.22</v>
      </c>
      <c r="H375" s="4">
        <v>4.3</v>
      </c>
      <c r="I375" s="4" t="s">
        <v>18</v>
      </c>
      <c r="J375" s="4" t="s">
        <v>722</v>
      </c>
      <c r="K375" s="4" t="s">
        <v>733</v>
      </c>
      <c r="L375" s="4" t="s">
        <v>23</v>
      </c>
      <c r="M375" s="11" t="s">
        <v>949</v>
      </c>
      <c r="Q375" s="4" t="s">
        <v>22</v>
      </c>
      <c r="R375" t="str">
        <f t="shared" si="20"/>
        <v>Shrub</v>
      </c>
      <c r="U375" t="s">
        <v>746</v>
      </c>
      <c r="V375" s="4">
        <v>374</v>
      </c>
      <c r="W375" s="4" t="s">
        <v>636</v>
      </c>
      <c r="X375" s="4" t="str">
        <f t="shared" si="21"/>
        <v>74</v>
      </c>
      <c r="Y375" s="4" t="str">
        <f t="shared" si="22"/>
        <v>374</v>
      </c>
      <c r="Z375" s="4" t="str">
        <f t="shared" si="23"/>
        <v>1754310611</v>
      </c>
    </row>
    <row r="376" spans="1:26" x14ac:dyDescent="0.3">
      <c r="A376" s="4">
        <v>1754310614</v>
      </c>
      <c r="B376" s="4">
        <v>375</v>
      </c>
      <c r="C376" s="4" t="s">
        <v>638</v>
      </c>
      <c r="D376" s="4" t="s">
        <v>919</v>
      </c>
      <c r="E376" s="2">
        <v>1099</v>
      </c>
      <c r="F376" s="2">
        <v>300</v>
      </c>
      <c r="G376" s="9">
        <v>0.72</v>
      </c>
      <c r="H376" s="4">
        <v>4.4000000000000004</v>
      </c>
      <c r="I376" s="4" t="s">
        <v>13</v>
      </c>
      <c r="J376" s="4" t="s">
        <v>727</v>
      </c>
      <c r="K376" s="4" t="s">
        <v>733</v>
      </c>
      <c r="L376" s="4" t="s">
        <v>419</v>
      </c>
      <c r="M376" s="11" t="s">
        <v>949</v>
      </c>
      <c r="Q376" s="4" t="s">
        <v>56</v>
      </c>
      <c r="R376" t="str">
        <f t="shared" si="20"/>
        <v>Bamboo</v>
      </c>
      <c r="U376" t="s">
        <v>742</v>
      </c>
      <c r="V376" s="4">
        <v>375</v>
      </c>
      <c r="W376" s="4" t="s">
        <v>637</v>
      </c>
      <c r="X376" s="4" t="str">
        <f t="shared" si="21"/>
        <v>75</v>
      </c>
      <c r="Y376" s="4" t="str">
        <f t="shared" si="22"/>
        <v>375</v>
      </c>
      <c r="Z376" s="4" t="str">
        <f t="shared" si="23"/>
        <v>1754310614</v>
      </c>
    </row>
    <row r="377" spans="1:26" x14ac:dyDescent="0.3">
      <c r="A377" s="4">
        <v>1754310616</v>
      </c>
      <c r="B377" s="4">
        <v>376</v>
      </c>
      <c r="C377" s="4" t="s">
        <v>438</v>
      </c>
      <c r="D377" s="4" t="s">
        <v>877</v>
      </c>
      <c r="E377" s="2">
        <v>759</v>
      </c>
      <c r="F377" s="2">
        <v>120</v>
      </c>
      <c r="G377" s="9">
        <v>0.84</v>
      </c>
      <c r="H377" s="4">
        <v>3.5</v>
      </c>
      <c r="I377" s="4" t="s">
        <v>18</v>
      </c>
      <c r="J377" s="4" t="s">
        <v>728</v>
      </c>
      <c r="K377" s="4" t="s">
        <v>732</v>
      </c>
      <c r="L377" s="4" t="s">
        <v>439</v>
      </c>
      <c r="M377" s="11" t="s">
        <v>949</v>
      </c>
      <c r="Q377" s="4" t="s">
        <v>68</v>
      </c>
      <c r="R377" t="str">
        <f t="shared" si="20"/>
        <v>Fruit</v>
      </c>
      <c r="U377" t="s">
        <v>742</v>
      </c>
      <c r="V377" s="4">
        <v>376</v>
      </c>
      <c r="W377" s="4" t="s">
        <v>639</v>
      </c>
      <c r="X377" s="4" t="str">
        <f t="shared" si="21"/>
        <v>76</v>
      </c>
      <c r="Y377" s="4" t="str">
        <f t="shared" si="22"/>
        <v>376</v>
      </c>
      <c r="Z377" s="4" t="str">
        <f t="shared" si="23"/>
        <v>1754310616</v>
      </c>
    </row>
    <row r="378" spans="1:26" x14ac:dyDescent="0.3">
      <c r="A378" s="4">
        <v>1754310619</v>
      </c>
      <c r="B378" s="4">
        <v>377</v>
      </c>
      <c r="C378" s="4" t="s">
        <v>641</v>
      </c>
      <c r="D378" s="4" t="s">
        <v>920</v>
      </c>
      <c r="E378" s="2">
        <v>599</v>
      </c>
      <c r="F378" s="2">
        <v>177</v>
      </c>
      <c r="G378" s="9">
        <v>0.7</v>
      </c>
      <c r="H378" s="4">
        <v>3.4</v>
      </c>
      <c r="I378" s="4" t="s">
        <v>13</v>
      </c>
      <c r="J378" s="4" t="s">
        <v>729</v>
      </c>
      <c r="K378" s="4" t="s">
        <v>732</v>
      </c>
      <c r="L378" s="4" t="s">
        <v>642</v>
      </c>
      <c r="M378" s="11" t="s">
        <v>949</v>
      </c>
      <c r="Q378" s="4" t="s">
        <v>177</v>
      </c>
      <c r="R378" t="str">
        <f t="shared" si="20"/>
        <v>Flower</v>
      </c>
      <c r="U378" t="s">
        <v>788</v>
      </c>
      <c r="V378" s="4">
        <v>377</v>
      </c>
      <c r="W378" s="4" t="s">
        <v>640</v>
      </c>
      <c r="X378" s="4" t="str">
        <f t="shared" si="21"/>
        <v>77</v>
      </c>
      <c r="Y378" s="4" t="str">
        <f t="shared" si="22"/>
        <v>377</v>
      </c>
      <c r="Z378" s="4" t="str">
        <f t="shared" si="23"/>
        <v>1754310619</v>
      </c>
    </row>
    <row r="379" spans="1:26" x14ac:dyDescent="0.3">
      <c r="A379" s="4">
        <v>1754310622</v>
      </c>
      <c r="B379" s="4">
        <v>378</v>
      </c>
      <c r="C379" s="4" t="s">
        <v>528</v>
      </c>
      <c r="D379" s="4" t="s">
        <v>900</v>
      </c>
      <c r="E379" s="2">
        <v>299</v>
      </c>
      <c r="F379" s="2">
        <v>145</v>
      </c>
      <c r="G379" s="9">
        <v>0.51</v>
      </c>
      <c r="H379" s="4">
        <v>4.3</v>
      </c>
      <c r="I379" s="4" t="s">
        <v>13</v>
      </c>
      <c r="J379" s="4" t="s">
        <v>728</v>
      </c>
      <c r="K379" s="4" t="s">
        <v>732</v>
      </c>
      <c r="L379" s="4" t="s">
        <v>29</v>
      </c>
      <c r="M379" s="11" t="s">
        <v>949</v>
      </c>
      <c r="Q379" s="4" t="s">
        <v>68</v>
      </c>
      <c r="R379" t="str">
        <f t="shared" si="20"/>
        <v>Fruit</v>
      </c>
      <c r="U379" t="s">
        <v>742</v>
      </c>
      <c r="V379" s="4">
        <v>378</v>
      </c>
      <c r="W379" s="4" t="s">
        <v>643</v>
      </c>
      <c r="X379" s="4" t="str">
        <f t="shared" si="21"/>
        <v>78</v>
      </c>
      <c r="Y379" s="4" t="str">
        <f t="shared" si="22"/>
        <v>378</v>
      </c>
      <c r="Z379" s="4" t="str">
        <f t="shared" si="23"/>
        <v>1754310622</v>
      </c>
    </row>
    <row r="380" spans="1:26" x14ac:dyDescent="0.3">
      <c r="A380" s="4">
        <v>1754310631</v>
      </c>
      <c r="B380" s="4">
        <v>379</v>
      </c>
      <c r="C380" s="4" t="s">
        <v>25</v>
      </c>
      <c r="D380" s="4" t="s">
        <v>747</v>
      </c>
      <c r="E380" s="2">
        <v>449</v>
      </c>
      <c r="F380" s="2">
        <v>349</v>
      </c>
      <c r="G380" s="9">
        <v>0.22</v>
      </c>
      <c r="H380" s="4">
        <v>4.3</v>
      </c>
      <c r="I380" s="4" t="s">
        <v>18</v>
      </c>
      <c r="J380" s="4" t="s">
        <v>722</v>
      </c>
      <c r="K380" s="4" t="s">
        <v>733</v>
      </c>
      <c r="L380" s="4" t="s">
        <v>23</v>
      </c>
      <c r="M380" s="11" t="s">
        <v>949</v>
      </c>
      <c r="Q380" s="4" t="s">
        <v>22</v>
      </c>
      <c r="R380" t="str">
        <f t="shared" si="20"/>
        <v>Shrub</v>
      </c>
      <c r="U380" t="s">
        <v>746</v>
      </c>
      <c r="V380" s="4">
        <v>379</v>
      </c>
      <c r="W380" s="4" t="s">
        <v>644</v>
      </c>
      <c r="X380" s="4" t="str">
        <f t="shared" si="21"/>
        <v>79</v>
      </c>
      <c r="Y380" s="4" t="str">
        <f t="shared" si="22"/>
        <v>379</v>
      </c>
      <c r="Z380" s="4" t="str">
        <f t="shared" si="23"/>
        <v>1754310631</v>
      </c>
    </row>
    <row r="381" spans="1:26" x14ac:dyDescent="0.3">
      <c r="A381" s="4">
        <v>1754310641</v>
      </c>
      <c r="B381" s="4">
        <v>380</v>
      </c>
      <c r="C381" s="4" t="s">
        <v>40</v>
      </c>
      <c r="D381" s="4" t="s">
        <v>752</v>
      </c>
      <c r="E381" s="2">
        <v>499</v>
      </c>
      <c r="F381" s="2">
        <v>424</v>
      </c>
      <c r="G381" s="9">
        <v>0.15</v>
      </c>
      <c r="H381" s="4">
        <v>4.3</v>
      </c>
      <c r="I381" s="4" t="s">
        <v>18</v>
      </c>
      <c r="J381" s="4" t="s">
        <v>724</v>
      </c>
      <c r="K381" s="4" t="s">
        <v>733</v>
      </c>
      <c r="L381" s="4" t="s">
        <v>23</v>
      </c>
      <c r="M381" s="11" t="s">
        <v>949</v>
      </c>
      <c r="Q381" s="4" t="s">
        <v>41</v>
      </c>
      <c r="R381" t="str">
        <f t="shared" si="20"/>
        <v>Succulent</v>
      </c>
      <c r="U381" t="s">
        <v>742</v>
      </c>
      <c r="V381" s="4">
        <v>380</v>
      </c>
      <c r="W381" s="4" t="s">
        <v>645</v>
      </c>
      <c r="X381" s="4" t="str">
        <f t="shared" si="21"/>
        <v>80</v>
      </c>
      <c r="Y381" s="4" t="str">
        <f t="shared" si="22"/>
        <v>380</v>
      </c>
      <c r="Z381" s="4" t="str">
        <f t="shared" si="23"/>
        <v>1754310641</v>
      </c>
    </row>
    <row r="382" spans="1:26" x14ac:dyDescent="0.3">
      <c r="A382" s="4">
        <v>1754310646</v>
      </c>
      <c r="B382" s="4">
        <v>381</v>
      </c>
      <c r="C382" s="4" t="s">
        <v>647</v>
      </c>
      <c r="D382" s="4" t="s">
        <v>921</v>
      </c>
      <c r="E382" s="2">
        <v>579</v>
      </c>
      <c r="F382" s="2">
        <v>135</v>
      </c>
      <c r="G382" s="9">
        <v>0.76</v>
      </c>
      <c r="H382" s="4">
        <v>3.3</v>
      </c>
      <c r="I382" s="4" t="s">
        <v>18</v>
      </c>
      <c r="J382" s="4" t="s">
        <v>728</v>
      </c>
      <c r="K382" s="4" t="s">
        <v>732</v>
      </c>
      <c r="L382" s="4" t="s">
        <v>253</v>
      </c>
      <c r="M382" s="11" t="s">
        <v>949</v>
      </c>
      <c r="Q382" s="4" t="s">
        <v>68</v>
      </c>
      <c r="R382" t="str">
        <f t="shared" si="20"/>
        <v>Fruit</v>
      </c>
      <c r="U382" t="s">
        <v>742</v>
      </c>
      <c r="V382" s="4">
        <v>381</v>
      </c>
      <c r="W382" s="4" t="s">
        <v>646</v>
      </c>
      <c r="X382" s="4" t="str">
        <f t="shared" si="21"/>
        <v>81</v>
      </c>
      <c r="Y382" s="4" t="str">
        <f t="shared" si="22"/>
        <v>381</v>
      </c>
      <c r="Z382" s="4" t="str">
        <f t="shared" si="23"/>
        <v>1754310646</v>
      </c>
    </row>
    <row r="383" spans="1:26" x14ac:dyDescent="0.3">
      <c r="A383" s="4">
        <v>1754310648</v>
      </c>
      <c r="B383" s="4">
        <v>382</v>
      </c>
      <c r="C383" s="4" t="s">
        <v>536</v>
      </c>
      <c r="D383" s="4" t="s">
        <v>903</v>
      </c>
      <c r="E383" s="2">
        <v>499</v>
      </c>
      <c r="F383" s="2">
        <v>135</v>
      </c>
      <c r="G383" s="9">
        <v>0.72</v>
      </c>
      <c r="H383" s="4">
        <v>4</v>
      </c>
      <c r="I383" s="4" t="s">
        <v>18</v>
      </c>
      <c r="J383" s="4" t="s">
        <v>728</v>
      </c>
      <c r="K383" s="4" t="s">
        <v>732</v>
      </c>
      <c r="L383" s="4" t="s">
        <v>121</v>
      </c>
      <c r="M383" s="11" t="s">
        <v>949</v>
      </c>
      <c r="Q383" s="4" t="s">
        <v>68</v>
      </c>
      <c r="R383" t="str">
        <f t="shared" si="20"/>
        <v>Fruit</v>
      </c>
      <c r="U383" t="s">
        <v>742</v>
      </c>
      <c r="V383" s="4">
        <v>382</v>
      </c>
      <c r="W383" s="4" t="s">
        <v>648</v>
      </c>
      <c r="X383" s="4" t="str">
        <f t="shared" si="21"/>
        <v>82</v>
      </c>
      <c r="Y383" s="4" t="str">
        <f t="shared" si="22"/>
        <v>382</v>
      </c>
      <c r="Z383" s="4" t="str">
        <f t="shared" si="23"/>
        <v>1754310648</v>
      </c>
    </row>
    <row r="384" spans="1:26" x14ac:dyDescent="0.3">
      <c r="A384" s="4">
        <v>1754310655</v>
      </c>
      <c r="B384" s="4">
        <v>383</v>
      </c>
      <c r="C384" s="4" t="s">
        <v>21</v>
      </c>
      <c r="D384" s="4" t="s">
        <v>745</v>
      </c>
      <c r="E384" s="2">
        <v>449</v>
      </c>
      <c r="F384" s="2">
        <v>359</v>
      </c>
      <c r="G384" s="9">
        <v>0.2</v>
      </c>
      <c r="H384" s="4">
        <v>4.4000000000000004</v>
      </c>
      <c r="I384" s="4" t="s">
        <v>18</v>
      </c>
      <c r="J384" s="4" t="s">
        <v>722</v>
      </c>
      <c r="K384" s="4" t="s">
        <v>733</v>
      </c>
      <c r="L384" s="4" t="s">
        <v>23</v>
      </c>
      <c r="M384" s="11" t="s">
        <v>949</v>
      </c>
      <c r="Q384" s="4" t="s">
        <v>22</v>
      </c>
      <c r="R384" t="str">
        <f t="shared" si="20"/>
        <v>Shrub</v>
      </c>
      <c r="U384" t="s">
        <v>746</v>
      </c>
      <c r="V384" s="4">
        <v>383</v>
      </c>
      <c r="W384" s="4" t="s">
        <v>649</v>
      </c>
      <c r="X384" s="4" t="str">
        <f t="shared" si="21"/>
        <v>83</v>
      </c>
      <c r="Y384" s="4" t="str">
        <f t="shared" si="22"/>
        <v>383</v>
      </c>
      <c r="Z384" s="4" t="str">
        <f t="shared" si="23"/>
        <v>1754310655</v>
      </c>
    </row>
    <row r="385" spans="1:26" x14ac:dyDescent="0.3">
      <c r="A385" s="4">
        <v>1754310657</v>
      </c>
      <c r="B385" s="4">
        <v>384</v>
      </c>
      <c r="C385" s="4" t="s">
        <v>40</v>
      </c>
      <c r="D385" s="4" t="s">
        <v>752</v>
      </c>
      <c r="E385" s="2">
        <v>449</v>
      </c>
      <c r="F385" s="2">
        <v>335</v>
      </c>
      <c r="G385" s="9">
        <v>0.25</v>
      </c>
      <c r="H385" s="4">
        <v>4</v>
      </c>
      <c r="I385" s="4" t="s">
        <v>18</v>
      </c>
      <c r="J385" s="4" t="s">
        <v>724</v>
      </c>
      <c r="K385" s="4" t="s">
        <v>733</v>
      </c>
      <c r="L385" s="4" t="s">
        <v>23</v>
      </c>
      <c r="M385" s="11" t="s">
        <v>949</v>
      </c>
      <c r="Q385" s="4" t="s">
        <v>41</v>
      </c>
      <c r="R385" t="str">
        <f t="shared" si="20"/>
        <v>Succulent</v>
      </c>
      <c r="U385" t="s">
        <v>742</v>
      </c>
      <c r="V385" s="4">
        <v>384</v>
      </c>
      <c r="W385" s="4" t="s">
        <v>650</v>
      </c>
      <c r="X385" s="4" t="str">
        <f t="shared" si="21"/>
        <v>84</v>
      </c>
      <c r="Y385" s="4" t="str">
        <f t="shared" si="22"/>
        <v>384</v>
      </c>
      <c r="Z385" s="4" t="str">
        <f t="shared" si="23"/>
        <v>1754310657</v>
      </c>
    </row>
    <row r="386" spans="1:26" x14ac:dyDescent="0.3">
      <c r="A386" s="4">
        <v>1754310661</v>
      </c>
      <c r="B386" s="4">
        <v>385</v>
      </c>
      <c r="C386" s="4" t="s">
        <v>652</v>
      </c>
      <c r="D386" s="4" t="s">
        <v>922</v>
      </c>
      <c r="E386" s="2">
        <v>789</v>
      </c>
      <c r="F386" s="2">
        <v>286</v>
      </c>
      <c r="G386" s="9">
        <v>0.63</v>
      </c>
      <c r="H386" s="4">
        <v>3.3</v>
      </c>
      <c r="I386" s="4" t="s">
        <v>18</v>
      </c>
      <c r="J386" s="4" t="s">
        <v>729</v>
      </c>
      <c r="K386" s="4" t="s">
        <v>737</v>
      </c>
      <c r="L386" s="4" t="s">
        <v>79</v>
      </c>
      <c r="M386" s="11" t="s">
        <v>949</v>
      </c>
      <c r="Q386" s="4" t="s">
        <v>177</v>
      </c>
      <c r="R386" t="str">
        <f t="shared" si="20"/>
        <v>Flower</v>
      </c>
      <c r="U386" t="s">
        <v>923</v>
      </c>
      <c r="V386" s="4">
        <v>385</v>
      </c>
      <c r="W386" s="4" t="s">
        <v>651</v>
      </c>
      <c r="X386" s="4" t="str">
        <f t="shared" si="21"/>
        <v>85</v>
      </c>
      <c r="Y386" s="4" t="str">
        <f t="shared" si="22"/>
        <v>385</v>
      </c>
      <c r="Z386" s="4" t="str">
        <f t="shared" si="23"/>
        <v>1754310661</v>
      </c>
    </row>
    <row r="387" spans="1:26" x14ac:dyDescent="0.3">
      <c r="A387" s="4">
        <v>1754310664</v>
      </c>
      <c r="B387" s="4">
        <v>386</v>
      </c>
      <c r="C387" s="4" t="s">
        <v>284</v>
      </c>
      <c r="D387" s="4" t="s">
        <v>821</v>
      </c>
      <c r="E387" s="2">
        <v>499</v>
      </c>
      <c r="F387" s="2">
        <v>142</v>
      </c>
      <c r="G387" s="9">
        <v>0.71</v>
      </c>
      <c r="H387" s="4">
        <v>3.3</v>
      </c>
      <c r="I387" s="4" t="s">
        <v>13</v>
      </c>
      <c r="J387" s="4" t="s">
        <v>728</v>
      </c>
      <c r="K387" s="4" t="s">
        <v>732</v>
      </c>
      <c r="L387" s="4" t="s">
        <v>121</v>
      </c>
      <c r="M387" s="11" t="s">
        <v>949</v>
      </c>
      <c r="Q387" s="4" t="s">
        <v>68</v>
      </c>
      <c r="R387" t="str">
        <f t="shared" ref="R387:R441" si="24">RIGHT(Q387,LEN(Q387)-FIND(" ",Q387,1))</f>
        <v>Fruit</v>
      </c>
      <c r="U387" t="s">
        <v>742</v>
      </c>
      <c r="V387" s="4">
        <v>386</v>
      </c>
      <c r="W387" s="4" t="s">
        <v>653</v>
      </c>
      <c r="X387" s="4" t="str">
        <f t="shared" ref="X387:X441" si="25">RIGHT(W387,2)</f>
        <v>86</v>
      </c>
      <c r="Y387" s="4" t="str">
        <f t="shared" ref="Y387:Y441" si="26">RIGHT(W387,LEN(W387)-FIND("-",W387,1))</f>
        <v>386</v>
      </c>
      <c r="Z387" s="4" t="str">
        <f t="shared" ref="Z387:Z441" si="27">LEFT(W387,FIND("-",W387,1)-1)</f>
        <v>1754310664</v>
      </c>
    </row>
    <row r="388" spans="1:26" x14ac:dyDescent="0.3">
      <c r="A388" s="4">
        <v>1754310669</v>
      </c>
      <c r="B388" s="4">
        <v>387</v>
      </c>
      <c r="C388" s="4" t="s">
        <v>655</v>
      </c>
      <c r="D388" s="4" t="s">
        <v>924</v>
      </c>
      <c r="E388" s="2">
        <v>998</v>
      </c>
      <c r="F388" s="2">
        <v>283</v>
      </c>
      <c r="G388" s="9">
        <v>0.71</v>
      </c>
      <c r="H388" s="4">
        <v>4</v>
      </c>
      <c r="I388" s="4" t="s">
        <v>18</v>
      </c>
      <c r="J388" s="4" t="s">
        <v>728</v>
      </c>
      <c r="K388" s="4" t="s">
        <v>737</v>
      </c>
      <c r="L388" s="4" t="s">
        <v>656</v>
      </c>
      <c r="M388" s="11" t="s">
        <v>949</v>
      </c>
      <c r="Q388" s="4" t="s">
        <v>68</v>
      </c>
      <c r="R388" t="str">
        <f t="shared" si="24"/>
        <v>Fruit</v>
      </c>
      <c r="U388" t="s">
        <v>742</v>
      </c>
      <c r="V388" s="4">
        <v>387</v>
      </c>
      <c r="W388" s="4" t="s">
        <v>654</v>
      </c>
      <c r="X388" s="4" t="str">
        <f t="shared" si="25"/>
        <v>87</v>
      </c>
      <c r="Y388" s="4" t="str">
        <f t="shared" si="26"/>
        <v>387</v>
      </c>
      <c r="Z388" s="4" t="str">
        <f t="shared" si="27"/>
        <v>1754310669</v>
      </c>
    </row>
    <row r="389" spans="1:26" x14ac:dyDescent="0.3">
      <c r="A389" s="4">
        <v>1754310682</v>
      </c>
      <c r="B389" s="4">
        <v>388</v>
      </c>
      <c r="C389" s="4" t="s">
        <v>658</v>
      </c>
      <c r="D389" s="4" t="s">
        <v>925</v>
      </c>
      <c r="E389" s="2">
        <v>599</v>
      </c>
      <c r="F389" s="2">
        <v>147</v>
      </c>
      <c r="G389" s="9">
        <v>0.75</v>
      </c>
      <c r="H389" s="4">
        <v>3.4</v>
      </c>
      <c r="I389" s="4" t="s">
        <v>18</v>
      </c>
      <c r="J389" s="4" t="s">
        <v>728</v>
      </c>
      <c r="K389" s="4" t="s">
        <v>732</v>
      </c>
      <c r="L389" s="4" t="s">
        <v>115</v>
      </c>
      <c r="M389" s="11" t="s">
        <v>949</v>
      </c>
      <c r="Q389" s="4" t="s">
        <v>68</v>
      </c>
      <c r="R389" t="str">
        <f t="shared" si="24"/>
        <v>Fruit</v>
      </c>
      <c r="U389" t="s">
        <v>742</v>
      </c>
      <c r="V389" s="4">
        <v>388</v>
      </c>
      <c r="W389" s="4" t="s">
        <v>657</v>
      </c>
      <c r="X389" s="4" t="str">
        <f t="shared" si="25"/>
        <v>88</v>
      </c>
      <c r="Y389" s="4" t="str">
        <f t="shared" si="26"/>
        <v>388</v>
      </c>
      <c r="Z389" s="4" t="str">
        <f t="shared" si="27"/>
        <v>1754310682</v>
      </c>
    </row>
    <row r="390" spans="1:26" x14ac:dyDescent="0.3">
      <c r="A390" s="4">
        <v>1754310685</v>
      </c>
      <c r="B390" s="4">
        <v>389</v>
      </c>
      <c r="C390" s="4" t="s">
        <v>40</v>
      </c>
      <c r="D390" s="4" t="s">
        <v>752</v>
      </c>
      <c r="E390" s="2">
        <v>499</v>
      </c>
      <c r="F390" s="2">
        <v>426</v>
      </c>
      <c r="G390" s="9">
        <v>0.14000000000000001</v>
      </c>
      <c r="H390" s="4">
        <v>4.2</v>
      </c>
      <c r="I390" s="4" t="s">
        <v>18</v>
      </c>
      <c r="J390" s="4" t="s">
        <v>724</v>
      </c>
      <c r="K390" s="4" t="s">
        <v>733</v>
      </c>
      <c r="L390" s="4" t="s">
        <v>23</v>
      </c>
      <c r="M390" s="11" t="s">
        <v>949</v>
      </c>
      <c r="Q390" s="4" t="s">
        <v>41</v>
      </c>
      <c r="R390" t="str">
        <f t="shared" si="24"/>
        <v>Succulent</v>
      </c>
      <c r="U390" t="s">
        <v>742</v>
      </c>
      <c r="V390" s="4">
        <v>389</v>
      </c>
      <c r="W390" s="4" t="s">
        <v>659</v>
      </c>
      <c r="X390" s="4" t="str">
        <f t="shared" si="25"/>
        <v>89</v>
      </c>
      <c r="Y390" s="4" t="str">
        <f t="shared" si="26"/>
        <v>389</v>
      </c>
      <c r="Z390" s="4" t="str">
        <f t="shared" si="27"/>
        <v>1754310685</v>
      </c>
    </row>
    <row r="391" spans="1:26" x14ac:dyDescent="0.3">
      <c r="A391" s="4">
        <v>1754310687</v>
      </c>
      <c r="B391" s="4">
        <v>390</v>
      </c>
      <c r="C391" s="4" t="s">
        <v>40</v>
      </c>
      <c r="D391" s="4" t="s">
        <v>752</v>
      </c>
      <c r="E391" s="2">
        <v>499</v>
      </c>
      <c r="F391" s="2">
        <v>335</v>
      </c>
      <c r="G391" s="9">
        <v>0.32</v>
      </c>
      <c r="H391" s="4">
        <v>4</v>
      </c>
      <c r="I391" s="4" t="s">
        <v>18</v>
      </c>
      <c r="J391" s="4" t="s">
        <v>724</v>
      </c>
      <c r="K391" s="4" t="s">
        <v>733</v>
      </c>
      <c r="L391" s="4" t="s">
        <v>23</v>
      </c>
      <c r="M391" s="11" t="s">
        <v>949</v>
      </c>
      <c r="Q391" s="4" t="s">
        <v>41</v>
      </c>
      <c r="R391" t="str">
        <f t="shared" si="24"/>
        <v>Succulent</v>
      </c>
      <c r="U391" t="s">
        <v>742</v>
      </c>
      <c r="V391" s="4">
        <v>390</v>
      </c>
      <c r="W391" s="4" t="s">
        <v>660</v>
      </c>
      <c r="X391" s="4" t="str">
        <f t="shared" si="25"/>
        <v>90</v>
      </c>
      <c r="Y391" s="4" t="str">
        <f t="shared" si="26"/>
        <v>390</v>
      </c>
      <c r="Z391" s="4" t="str">
        <f t="shared" si="27"/>
        <v>1754310687</v>
      </c>
    </row>
    <row r="392" spans="1:26" x14ac:dyDescent="0.3">
      <c r="A392" s="4">
        <v>1754310689</v>
      </c>
      <c r="B392" s="4">
        <v>391</v>
      </c>
      <c r="C392" s="4" t="s">
        <v>608</v>
      </c>
      <c r="D392" s="4" t="s">
        <v>914</v>
      </c>
      <c r="E392" s="2">
        <v>400</v>
      </c>
      <c r="F392" s="2">
        <v>179</v>
      </c>
      <c r="G392" s="9">
        <v>0.55000000000000004</v>
      </c>
      <c r="H392" s="4">
        <v>3.4</v>
      </c>
      <c r="I392" s="4" t="s">
        <v>13</v>
      </c>
      <c r="J392" s="4" t="s">
        <v>729</v>
      </c>
      <c r="K392" s="4" t="s">
        <v>733</v>
      </c>
      <c r="L392" s="4" t="s">
        <v>29</v>
      </c>
      <c r="M392" s="11" t="s">
        <v>949</v>
      </c>
      <c r="Q392" s="4" t="s">
        <v>177</v>
      </c>
      <c r="R392" t="str">
        <f t="shared" si="24"/>
        <v>Flower</v>
      </c>
      <c r="U392" t="s">
        <v>744</v>
      </c>
      <c r="V392" s="4">
        <v>391</v>
      </c>
      <c r="W392" s="4" t="s">
        <v>661</v>
      </c>
      <c r="X392" s="4" t="str">
        <f t="shared" si="25"/>
        <v>91</v>
      </c>
      <c r="Y392" s="4" t="str">
        <f t="shared" si="26"/>
        <v>391</v>
      </c>
      <c r="Z392" s="4" t="str">
        <f t="shared" si="27"/>
        <v>1754310689</v>
      </c>
    </row>
    <row r="393" spans="1:26" x14ac:dyDescent="0.3">
      <c r="A393" s="4">
        <v>1754310693</v>
      </c>
      <c r="B393" s="4">
        <v>392</v>
      </c>
      <c r="C393" s="4" t="s">
        <v>126</v>
      </c>
      <c r="D393" s="4" t="s">
        <v>774</v>
      </c>
      <c r="E393" s="2">
        <v>499</v>
      </c>
      <c r="F393" s="2">
        <v>144</v>
      </c>
      <c r="G393" s="9">
        <v>0.71</v>
      </c>
      <c r="H393" s="4">
        <v>2.6</v>
      </c>
      <c r="I393" s="4" t="s">
        <v>13</v>
      </c>
      <c r="J393" s="4" t="s">
        <v>723</v>
      </c>
      <c r="K393" s="4" t="s">
        <v>732</v>
      </c>
      <c r="L393" s="4" t="s">
        <v>44</v>
      </c>
      <c r="M393" s="11" t="s">
        <v>949</v>
      </c>
      <c r="Q393" s="4" t="s">
        <v>28</v>
      </c>
      <c r="R393" t="str">
        <f t="shared" si="24"/>
        <v>Herb</v>
      </c>
      <c r="U393" t="s">
        <v>742</v>
      </c>
      <c r="V393" s="4">
        <v>392</v>
      </c>
      <c r="W393" s="4" t="s">
        <v>662</v>
      </c>
      <c r="X393" s="4" t="str">
        <f t="shared" si="25"/>
        <v>92</v>
      </c>
      <c r="Y393" s="4" t="str">
        <f t="shared" si="26"/>
        <v>392</v>
      </c>
      <c r="Z393" s="4" t="str">
        <f t="shared" si="27"/>
        <v>1754310693</v>
      </c>
    </row>
    <row r="394" spans="1:26" x14ac:dyDescent="0.3">
      <c r="A394" s="4">
        <v>1754310696</v>
      </c>
      <c r="B394" s="4">
        <v>393</v>
      </c>
      <c r="C394" s="4" t="s">
        <v>423</v>
      </c>
      <c r="D394" s="4" t="s">
        <v>872</v>
      </c>
      <c r="E394" s="2">
        <v>999</v>
      </c>
      <c r="F394" s="2">
        <v>283</v>
      </c>
      <c r="G394" s="9">
        <v>0.71</v>
      </c>
      <c r="H394" s="4">
        <v>4</v>
      </c>
      <c r="I394" s="4" t="s">
        <v>18</v>
      </c>
      <c r="J394" s="4" t="s">
        <v>729</v>
      </c>
      <c r="K394" s="4" t="s">
        <v>737</v>
      </c>
      <c r="L394" s="4" t="s">
        <v>424</v>
      </c>
      <c r="M394" s="11" t="s">
        <v>949</v>
      </c>
      <c r="Q394" s="4" t="s">
        <v>177</v>
      </c>
      <c r="R394" t="str">
        <f t="shared" si="24"/>
        <v>Flower</v>
      </c>
      <c r="U394" t="s">
        <v>742</v>
      </c>
      <c r="V394" s="4">
        <v>393</v>
      </c>
      <c r="W394" s="4" t="s">
        <v>663</v>
      </c>
      <c r="X394" s="4" t="str">
        <f t="shared" si="25"/>
        <v>93</v>
      </c>
      <c r="Y394" s="4" t="str">
        <f t="shared" si="26"/>
        <v>393</v>
      </c>
      <c r="Z394" s="4" t="str">
        <f t="shared" si="27"/>
        <v>1754310696</v>
      </c>
    </row>
    <row r="395" spans="1:26" x14ac:dyDescent="0.3">
      <c r="A395" s="4">
        <v>1754310699</v>
      </c>
      <c r="B395" s="4">
        <v>394</v>
      </c>
      <c r="C395" s="4" t="s">
        <v>665</v>
      </c>
      <c r="D395" s="4" t="s">
        <v>926</v>
      </c>
      <c r="E395" s="2">
        <v>499</v>
      </c>
      <c r="F395" s="2">
        <v>139</v>
      </c>
      <c r="G395" s="9">
        <v>0.72</v>
      </c>
      <c r="H395" s="4">
        <v>3.8</v>
      </c>
      <c r="I395" s="4" t="s">
        <v>18</v>
      </c>
      <c r="J395" s="4" t="s">
        <v>729</v>
      </c>
      <c r="K395" s="4" t="s">
        <v>737</v>
      </c>
      <c r="L395" s="4" t="s">
        <v>15</v>
      </c>
      <c r="M395" s="11" t="s">
        <v>949</v>
      </c>
      <c r="Q395" s="4" t="s">
        <v>177</v>
      </c>
      <c r="R395" t="str">
        <f t="shared" si="24"/>
        <v>Flower</v>
      </c>
      <c r="U395" t="s">
        <v>742</v>
      </c>
      <c r="V395" s="4">
        <v>394</v>
      </c>
      <c r="W395" s="4" t="s">
        <v>664</v>
      </c>
      <c r="X395" s="4" t="str">
        <f t="shared" si="25"/>
        <v>94</v>
      </c>
      <c r="Y395" s="4" t="str">
        <f t="shared" si="26"/>
        <v>394</v>
      </c>
      <c r="Z395" s="4" t="str">
        <f t="shared" si="27"/>
        <v>1754310699</v>
      </c>
    </row>
    <row r="396" spans="1:26" x14ac:dyDescent="0.3">
      <c r="A396" s="4">
        <v>1754310702</v>
      </c>
      <c r="B396" s="4">
        <v>395</v>
      </c>
      <c r="C396" s="4" t="s">
        <v>21</v>
      </c>
      <c r="D396" s="4" t="s">
        <v>745</v>
      </c>
      <c r="E396" s="2">
        <v>445</v>
      </c>
      <c r="F396" s="2">
        <v>335</v>
      </c>
      <c r="G396" s="9">
        <v>0.24</v>
      </c>
      <c r="H396" s="4">
        <v>4.4000000000000004</v>
      </c>
      <c r="I396" s="4" t="s">
        <v>18</v>
      </c>
      <c r="J396" s="4" t="s">
        <v>722</v>
      </c>
      <c r="K396" s="4" t="s">
        <v>733</v>
      </c>
      <c r="L396" s="4" t="s">
        <v>23</v>
      </c>
      <c r="M396" s="11" t="s">
        <v>949</v>
      </c>
      <c r="Q396" s="4" t="s">
        <v>22</v>
      </c>
      <c r="R396" t="str">
        <f t="shared" si="24"/>
        <v>Shrub</v>
      </c>
      <c r="U396" t="s">
        <v>746</v>
      </c>
      <c r="V396" s="4">
        <v>395</v>
      </c>
      <c r="W396" s="4" t="s">
        <v>666</v>
      </c>
      <c r="X396" s="4" t="str">
        <f t="shared" si="25"/>
        <v>95</v>
      </c>
      <c r="Y396" s="4" t="str">
        <f t="shared" si="26"/>
        <v>395</v>
      </c>
      <c r="Z396" s="4" t="str">
        <f t="shared" si="27"/>
        <v>1754310702</v>
      </c>
    </row>
    <row r="397" spans="1:26" x14ac:dyDescent="0.3">
      <c r="A397" s="4">
        <v>1754310704</v>
      </c>
      <c r="B397" s="4">
        <v>396</v>
      </c>
      <c r="C397" s="4" t="s">
        <v>252</v>
      </c>
      <c r="D397" s="4" t="s">
        <v>811</v>
      </c>
      <c r="E397" s="2">
        <v>499</v>
      </c>
      <c r="F397" s="2">
        <v>135</v>
      </c>
      <c r="G397" s="9">
        <v>0.72</v>
      </c>
      <c r="H397" s="4">
        <v>3.4</v>
      </c>
      <c r="I397" s="4" t="s">
        <v>13</v>
      </c>
      <c r="J397" s="4" t="s">
        <v>728</v>
      </c>
      <c r="K397" s="4" t="s">
        <v>732</v>
      </c>
      <c r="L397" s="4" t="s">
        <v>274</v>
      </c>
      <c r="M397" s="11" t="s">
        <v>949</v>
      </c>
      <c r="Q397" s="4" t="s">
        <v>68</v>
      </c>
      <c r="R397" t="str">
        <f t="shared" si="24"/>
        <v>Fruit</v>
      </c>
      <c r="U397" t="s">
        <v>742</v>
      </c>
      <c r="V397" s="4">
        <v>396</v>
      </c>
      <c r="W397" s="4" t="s">
        <v>667</v>
      </c>
      <c r="X397" s="4" t="str">
        <f t="shared" si="25"/>
        <v>96</v>
      </c>
      <c r="Y397" s="4" t="str">
        <f t="shared" si="26"/>
        <v>396</v>
      </c>
      <c r="Z397" s="4" t="str">
        <f t="shared" si="27"/>
        <v>1754310704</v>
      </c>
    </row>
    <row r="398" spans="1:26" x14ac:dyDescent="0.3">
      <c r="A398" s="4">
        <v>1754310707</v>
      </c>
      <c r="B398" s="4">
        <v>397</v>
      </c>
      <c r="C398" s="4" t="s">
        <v>592</v>
      </c>
      <c r="D398" s="4" t="s">
        <v>910</v>
      </c>
      <c r="E398" s="2">
        <v>349</v>
      </c>
      <c r="F398" s="2">
        <v>142</v>
      </c>
      <c r="G398" s="9">
        <v>0.59</v>
      </c>
      <c r="H398" s="4">
        <v>3.5</v>
      </c>
      <c r="I398" s="4" t="s">
        <v>18</v>
      </c>
      <c r="J398" s="4" t="s">
        <v>728</v>
      </c>
      <c r="K398" s="4" t="s">
        <v>737</v>
      </c>
      <c r="L398" s="4" t="s">
        <v>79</v>
      </c>
      <c r="M398" s="11" t="s">
        <v>949</v>
      </c>
      <c r="Q398" s="4" t="s">
        <v>68</v>
      </c>
      <c r="R398" t="str">
        <f t="shared" si="24"/>
        <v>Fruit</v>
      </c>
      <c r="U398" t="s">
        <v>742</v>
      </c>
      <c r="V398" s="4">
        <v>397</v>
      </c>
      <c r="W398" s="4" t="s">
        <v>668</v>
      </c>
      <c r="X398" s="4" t="str">
        <f t="shared" si="25"/>
        <v>97</v>
      </c>
      <c r="Y398" s="4" t="str">
        <f t="shared" si="26"/>
        <v>397</v>
      </c>
      <c r="Z398" s="4" t="str">
        <f t="shared" si="27"/>
        <v>1754310707</v>
      </c>
    </row>
    <row r="399" spans="1:26" x14ac:dyDescent="0.3">
      <c r="A399" s="4">
        <v>1754310709</v>
      </c>
      <c r="B399" s="4">
        <v>398</v>
      </c>
      <c r="C399" s="4" t="s">
        <v>670</v>
      </c>
      <c r="D399" s="4" t="s">
        <v>927</v>
      </c>
      <c r="E399" s="2">
        <v>499</v>
      </c>
      <c r="F399" s="2">
        <v>167</v>
      </c>
      <c r="G399" s="9">
        <v>0.66</v>
      </c>
      <c r="H399" s="4">
        <v>3.5</v>
      </c>
      <c r="I399" s="4" t="s">
        <v>18</v>
      </c>
      <c r="J399" s="4" t="s">
        <v>726</v>
      </c>
      <c r="K399" s="4" t="s">
        <v>737</v>
      </c>
      <c r="L399" s="4" t="s">
        <v>671</v>
      </c>
      <c r="M399" s="11" t="s">
        <v>949</v>
      </c>
      <c r="Q399" s="4" t="s">
        <v>51</v>
      </c>
      <c r="R399" t="str">
        <f t="shared" si="24"/>
        <v>Foliage</v>
      </c>
      <c r="U399" t="s">
        <v>742</v>
      </c>
      <c r="V399" s="4">
        <v>398</v>
      </c>
      <c r="W399" s="4" t="s">
        <v>669</v>
      </c>
      <c r="X399" s="4" t="str">
        <f t="shared" si="25"/>
        <v>98</v>
      </c>
      <c r="Y399" s="4" t="str">
        <f t="shared" si="26"/>
        <v>398</v>
      </c>
      <c r="Z399" s="4" t="str">
        <f t="shared" si="27"/>
        <v>1754310709</v>
      </c>
    </row>
    <row r="400" spans="1:26" x14ac:dyDescent="0.3">
      <c r="A400" s="4">
        <v>1754310712</v>
      </c>
      <c r="B400" s="4">
        <v>399</v>
      </c>
      <c r="C400" s="4" t="s">
        <v>40</v>
      </c>
      <c r="D400" s="4" t="s">
        <v>752</v>
      </c>
      <c r="E400" s="2">
        <v>495</v>
      </c>
      <c r="F400" s="2">
        <v>331</v>
      </c>
      <c r="G400" s="9">
        <v>0.33</v>
      </c>
      <c r="H400" s="4">
        <v>4.0999999999999996</v>
      </c>
      <c r="I400" s="4" t="s">
        <v>18</v>
      </c>
      <c r="J400" s="4" t="s">
        <v>724</v>
      </c>
      <c r="K400" s="4" t="s">
        <v>733</v>
      </c>
      <c r="L400" s="4" t="s">
        <v>23</v>
      </c>
      <c r="M400" s="11" t="s">
        <v>949</v>
      </c>
      <c r="Q400" s="4" t="s">
        <v>41</v>
      </c>
      <c r="R400" t="str">
        <f t="shared" si="24"/>
        <v>Succulent</v>
      </c>
      <c r="U400" t="s">
        <v>742</v>
      </c>
      <c r="V400" s="4">
        <v>399</v>
      </c>
      <c r="W400" s="4" t="s">
        <v>672</v>
      </c>
      <c r="X400" s="4" t="str">
        <f t="shared" si="25"/>
        <v>99</v>
      </c>
      <c r="Y400" s="4" t="str">
        <f t="shared" si="26"/>
        <v>399</v>
      </c>
      <c r="Z400" s="4" t="str">
        <f t="shared" si="27"/>
        <v>1754310712</v>
      </c>
    </row>
    <row r="401" spans="1:26" x14ac:dyDescent="0.3">
      <c r="A401" s="4">
        <v>1754310715</v>
      </c>
      <c r="B401" s="4">
        <v>400</v>
      </c>
      <c r="C401" s="4" t="s">
        <v>40</v>
      </c>
      <c r="D401" s="4" t="s">
        <v>752</v>
      </c>
      <c r="E401" s="2">
        <v>349</v>
      </c>
      <c r="F401" s="2">
        <v>325</v>
      </c>
      <c r="G401" s="9">
        <v>0.06</v>
      </c>
      <c r="H401" s="4">
        <v>4</v>
      </c>
      <c r="I401" s="4" t="s">
        <v>18</v>
      </c>
      <c r="J401" s="4" t="s">
        <v>724</v>
      </c>
      <c r="K401" s="4" t="s">
        <v>733</v>
      </c>
      <c r="L401" s="4" t="s">
        <v>23</v>
      </c>
      <c r="M401" s="11" t="s">
        <v>949</v>
      </c>
      <c r="Q401" s="4" t="s">
        <v>41</v>
      </c>
      <c r="R401" t="str">
        <f t="shared" si="24"/>
        <v>Succulent</v>
      </c>
      <c r="U401" t="s">
        <v>746</v>
      </c>
      <c r="V401" s="4">
        <v>400</v>
      </c>
      <c r="W401" s="4" t="s">
        <v>673</v>
      </c>
      <c r="X401" s="4" t="str">
        <f t="shared" si="25"/>
        <v>00</v>
      </c>
      <c r="Y401" s="4" t="str">
        <f t="shared" si="26"/>
        <v>400</v>
      </c>
      <c r="Z401" s="4" t="str">
        <f t="shared" si="27"/>
        <v>1754310715</v>
      </c>
    </row>
    <row r="402" spans="1:26" x14ac:dyDescent="0.3">
      <c r="A402" s="4">
        <v>1754310717</v>
      </c>
      <c r="B402" s="4">
        <v>401</v>
      </c>
      <c r="C402" s="4" t="s">
        <v>59</v>
      </c>
      <c r="D402" s="4" t="s">
        <v>757</v>
      </c>
      <c r="E402" s="2">
        <v>299</v>
      </c>
      <c r="F402" s="2">
        <v>145</v>
      </c>
      <c r="G402" s="9">
        <v>0.51</v>
      </c>
      <c r="H402" s="4">
        <v>3.5</v>
      </c>
      <c r="I402" s="4" t="s">
        <v>13</v>
      </c>
      <c r="J402" s="4" t="s">
        <v>723</v>
      </c>
      <c r="K402" s="4" t="s">
        <v>732</v>
      </c>
      <c r="L402" s="4" t="s">
        <v>121</v>
      </c>
      <c r="M402" s="11" t="s">
        <v>949</v>
      </c>
      <c r="Q402" s="4" t="s">
        <v>28</v>
      </c>
      <c r="R402" t="str">
        <f t="shared" si="24"/>
        <v>Herb</v>
      </c>
      <c r="U402" t="s">
        <v>742</v>
      </c>
      <c r="V402" s="4">
        <v>401</v>
      </c>
      <c r="W402" s="4" t="s">
        <v>674</v>
      </c>
      <c r="X402" s="4" t="str">
        <f t="shared" si="25"/>
        <v>01</v>
      </c>
      <c r="Y402" s="4" t="str">
        <f t="shared" si="26"/>
        <v>401</v>
      </c>
      <c r="Z402" s="4" t="str">
        <f t="shared" si="27"/>
        <v>1754310717</v>
      </c>
    </row>
    <row r="403" spans="1:26" x14ac:dyDescent="0.3">
      <c r="A403" s="4">
        <v>1754310723</v>
      </c>
      <c r="B403" s="4">
        <v>402</v>
      </c>
      <c r="C403" s="4" t="s">
        <v>408</v>
      </c>
      <c r="D403" s="4" t="s">
        <v>867</v>
      </c>
      <c r="E403" s="2">
        <v>399</v>
      </c>
      <c r="F403" s="2">
        <v>140</v>
      </c>
      <c r="G403" s="9">
        <v>0.64</v>
      </c>
      <c r="H403" s="4">
        <v>3.6</v>
      </c>
      <c r="I403" s="4" t="s">
        <v>18</v>
      </c>
      <c r="J403" s="4" t="s">
        <v>728</v>
      </c>
      <c r="K403" s="4" t="s">
        <v>737</v>
      </c>
      <c r="L403" s="4" t="s">
        <v>15</v>
      </c>
      <c r="M403" s="11" t="s">
        <v>949</v>
      </c>
      <c r="Q403" s="4" t="s">
        <v>68</v>
      </c>
      <c r="R403" t="str">
        <f t="shared" si="24"/>
        <v>Fruit</v>
      </c>
      <c r="U403" t="s">
        <v>742</v>
      </c>
      <c r="V403" s="4">
        <v>402</v>
      </c>
      <c r="W403" s="4" t="s">
        <v>675</v>
      </c>
      <c r="X403" s="4" t="str">
        <f t="shared" si="25"/>
        <v>02</v>
      </c>
      <c r="Y403" s="4" t="str">
        <f t="shared" si="26"/>
        <v>402</v>
      </c>
      <c r="Z403" s="4" t="str">
        <f t="shared" si="27"/>
        <v>1754310723</v>
      </c>
    </row>
    <row r="404" spans="1:26" x14ac:dyDescent="0.3">
      <c r="A404" s="4">
        <v>1754310726</v>
      </c>
      <c r="B404" s="4">
        <v>403</v>
      </c>
      <c r="C404" s="4" t="s">
        <v>25</v>
      </c>
      <c r="D404" s="4" t="s">
        <v>747</v>
      </c>
      <c r="E404" s="2">
        <v>449</v>
      </c>
      <c r="F404" s="2">
        <v>349</v>
      </c>
      <c r="G404" s="9">
        <v>0.22</v>
      </c>
      <c r="H404" s="4">
        <v>4.3</v>
      </c>
      <c r="I404" s="4" t="s">
        <v>18</v>
      </c>
      <c r="J404" s="4" t="s">
        <v>722</v>
      </c>
      <c r="K404" s="4" t="s">
        <v>733</v>
      </c>
      <c r="L404" s="4" t="s">
        <v>23</v>
      </c>
      <c r="M404" s="11" t="s">
        <v>949</v>
      </c>
      <c r="Q404" s="4" t="s">
        <v>22</v>
      </c>
      <c r="R404" t="str">
        <f t="shared" si="24"/>
        <v>Shrub</v>
      </c>
      <c r="U404" t="s">
        <v>746</v>
      </c>
      <c r="V404" s="4">
        <v>403</v>
      </c>
      <c r="W404" s="4" t="s">
        <v>676</v>
      </c>
      <c r="X404" s="4" t="str">
        <f t="shared" si="25"/>
        <v>03</v>
      </c>
      <c r="Y404" s="4" t="str">
        <f t="shared" si="26"/>
        <v>403</v>
      </c>
      <c r="Z404" s="4" t="str">
        <f t="shared" si="27"/>
        <v>1754310726</v>
      </c>
    </row>
    <row r="405" spans="1:26" x14ac:dyDescent="0.3">
      <c r="A405" s="4">
        <v>1754310728</v>
      </c>
      <c r="B405" s="4">
        <v>404</v>
      </c>
      <c r="C405" s="4" t="s">
        <v>21</v>
      </c>
      <c r="D405" s="4" t="s">
        <v>745</v>
      </c>
      <c r="E405" s="2">
        <v>449</v>
      </c>
      <c r="F405" s="2">
        <v>384</v>
      </c>
      <c r="G405" s="9">
        <v>0.14000000000000001</v>
      </c>
      <c r="H405" s="4">
        <v>4.4000000000000004</v>
      </c>
      <c r="I405" s="4" t="s">
        <v>18</v>
      </c>
      <c r="J405" s="4" t="s">
        <v>722</v>
      </c>
      <c r="K405" s="4" t="s">
        <v>733</v>
      </c>
      <c r="L405" s="4" t="s">
        <v>23</v>
      </c>
      <c r="M405" s="11" t="s">
        <v>949</v>
      </c>
      <c r="Q405" s="4" t="s">
        <v>22</v>
      </c>
      <c r="R405" t="str">
        <f t="shared" si="24"/>
        <v>Shrub</v>
      </c>
      <c r="U405" t="s">
        <v>746</v>
      </c>
      <c r="V405" s="4">
        <v>404</v>
      </c>
      <c r="W405" s="4" t="s">
        <v>677</v>
      </c>
      <c r="X405" s="4" t="str">
        <f t="shared" si="25"/>
        <v>04</v>
      </c>
      <c r="Y405" s="4" t="str">
        <f t="shared" si="26"/>
        <v>404</v>
      </c>
      <c r="Z405" s="4" t="str">
        <f t="shared" si="27"/>
        <v>1754310728</v>
      </c>
    </row>
    <row r="406" spans="1:26" x14ac:dyDescent="0.3">
      <c r="A406" s="4">
        <v>1754310731</v>
      </c>
      <c r="B406" s="4">
        <v>405</v>
      </c>
      <c r="C406" s="4" t="s">
        <v>528</v>
      </c>
      <c r="D406" s="4" t="s">
        <v>900</v>
      </c>
      <c r="E406" s="2">
        <v>299</v>
      </c>
      <c r="F406" s="2">
        <v>145</v>
      </c>
      <c r="G406" s="9">
        <v>0.51</v>
      </c>
      <c r="H406" s="4">
        <v>3.1</v>
      </c>
      <c r="I406" s="4" t="s">
        <v>13</v>
      </c>
      <c r="J406" s="4" t="s">
        <v>728</v>
      </c>
      <c r="K406" s="4" t="s">
        <v>732</v>
      </c>
      <c r="L406" s="4" t="s">
        <v>29</v>
      </c>
      <c r="M406" s="11" t="s">
        <v>949</v>
      </c>
      <c r="Q406" s="4" t="s">
        <v>68</v>
      </c>
      <c r="R406" t="str">
        <f t="shared" si="24"/>
        <v>Fruit</v>
      </c>
      <c r="U406" t="s">
        <v>742</v>
      </c>
      <c r="V406" s="4">
        <v>405</v>
      </c>
      <c r="W406" s="4" t="s">
        <v>678</v>
      </c>
      <c r="X406" s="4" t="str">
        <f t="shared" si="25"/>
        <v>05</v>
      </c>
      <c r="Y406" s="4" t="str">
        <f t="shared" si="26"/>
        <v>405</v>
      </c>
      <c r="Z406" s="4" t="str">
        <f t="shared" si="27"/>
        <v>1754310731</v>
      </c>
    </row>
    <row r="407" spans="1:26" x14ac:dyDescent="0.3">
      <c r="A407" s="4">
        <v>1754310733</v>
      </c>
      <c r="B407" s="4">
        <v>406</v>
      </c>
      <c r="C407" s="4" t="s">
        <v>396</v>
      </c>
      <c r="D407" s="4" t="s">
        <v>863</v>
      </c>
      <c r="E407" s="2">
        <v>999</v>
      </c>
      <c r="F407" s="2">
        <v>220</v>
      </c>
      <c r="G407" s="9">
        <v>0.77</v>
      </c>
      <c r="H407" s="4">
        <v>4</v>
      </c>
      <c r="I407" s="4" t="s">
        <v>18</v>
      </c>
      <c r="J407" s="4" t="s">
        <v>728</v>
      </c>
      <c r="K407" s="4" t="s">
        <v>737</v>
      </c>
      <c r="L407" s="4" t="s">
        <v>406</v>
      </c>
      <c r="M407" s="11" t="s">
        <v>949</v>
      </c>
      <c r="Q407" s="4" t="s">
        <v>68</v>
      </c>
      <c r="R407" t="str">
        <f t="shared" si="24"/>
        <v>Fruit</v>
      </c>
      <c r="U407" t="s">
        <v>742</v>
      </c>
      <c r="V407" s="4">
        <v>406</v>
      </c>
      <c r="W407" s="4" t="s">
        <v>679</v>
      </c>
      <c r="X407" s="4" t="str">
        <f t="shared" si="25"/>
        <v>06</v>
      </c>
      <c r="Y407" s="4" t="str">
        <f t="shared" si="26"/>
        <v>406</v>
      </c>
      <c r="Z407" s="4" t="str">
        <f t="shared" si="27"/>
        <v>1754310733</v>
      </c>
    </row>
    <row r="408" spans="1:26" x14ac:dyDescent="0.3">
      <c r="A408" s="4">
        <v>1754310736</v>
      </c>
      <c r="B408" s="4">
        <v>407</v>
      </c>
      <c r="C408" s="4" t="s">
        <v>606</v>
      </c>
      <c r="D408" s="4" t="s">
        <v>913</v>
      </c>
      <c r="E408" s="2">
        <v>399</v>
      </c>
      <c r="F408" s="2">
        <v>160</v>
      </c>
      <c r="G408" s="9">
        <v>0.59</v>
      </c>
      <c r="H408" s="4">
        <v>3.1</v>
      </c>
      <c r="I408" s="4" t="s">
        <v>13</v>
      </c>
      <c r="J408" s="4" t="s">
        <v>728</v>
      </c>
      <c r="K408" s="4" t="s">
        <v>732</v>
      </c>
      <c r="L408" s="4" t="s">
        <v>29</v>
      </c>
      <c r="M408" s="11" t="s">
        <v>949</v>
      </c>
      <c r="Q408" s="4" t="s">
        <v>68</v>
      </c>
      <c r="R408" t="str">
        <f t="shared" si="24"/>
        <v>Fruit</v>
      </c>
      <c r="U408" t="s">
        <v>742</v>
      </c>
      <c r="V408" s="4">
        <v>407</v>
      </c>
      <c r="W408" s="4" t="s">
        <v>680</v>
      </c>
      <c r="X408" s="4" t="str">
        <f t="shared" si="25"/>
        <v>07</v>
      </c>
      <c r="Y408" s="4" t="str">
        <f t="shared" si="26"/>
        <v>407</v>
      </c>
      <c r="Z408" s="4" t="str">
        <f t="shared" si="27"/>
        <v>1754310736</v>
      </c>
    </row>
    <row r="409" spans="1:26" x14ac:dyDescent="0.3">
      <c r="A409" s="4">
        <v>1754310738</v>
      </c>
      <c r="B409" s="4">
        <v>408</v>
      </c>
      <c r="C409" s="4" t="s">
        <v>284</v>
      </c>
      <c r="D409" s="4" t="s">
        <v>821</v>
      </c>
      <c r="E409" s="2">
        <v>399</v>
      </c>
      <c r="F409" s="2">
        <v>145</v>
      </c>
      <c r="G409" s="9">
        <v>0.63</v>
      </c>
      <c r="H409" s="4">
        <v>3.7</v>
      </c>
      <c r="I409" s="4" t="s">
        <v>13</v>
      </c>
      <c r="J409" s="4" t="s">
        <v>728</v>
      </c>
      <c r="K409" s="4" t="s">
        <v>732</v>
      </c>
      <c r="L409" s="4" t="s">
        <v>29</v>
      </c>
      <c r="M409" s="11" t="s">
        <v>949</v>
      </c>
      <c r="Q409" s="4" t="s">
        <v>68</v>
      </c>
      <c r="R409" t="str">
        <f t="shared" si="24"/>
        <v>Fruit</v>
      </c>
      <c r="U409" t="s">
        <v>742</v>
      </c>
      <c r="V409" s="4">
        <v>408</v>
      </c>
      <c r="W409" s="4" t="s">
        <v>681</v>
      </c>
      <c r="X409" s="4" t="str">
        <f t="shared" si="25"/>
        <v>08</v>
      </c>
      <c r="Y409" s="4" t="str">
        <f t="shared" si="26"/>
        <v>408</v>
      </c>
      <c r="Z409" s="4" t="str">
        <f t="shared" si="27"/>
        <v>1754310738</v>
      </c>
    </row>
    <row r="410" spans="1:26" x14ac:dyDescent="0.3">
      <c r="A410" s="4">
        <v>1754310741</v>
      </c>
      <c r="B410" s="4">
        <v>409</v>
      </c>
      <c r="C410" s="4" t="s">
        <v>40</v>
      </c>
      <c r="D410" s="4" t="s">
        <v>752</v>
      </c>
      <c r="E410" s="2">
        <v>499</v>
      </c>
      <c r="F410" s="2">
        <v>335</v>
      </c>
      <c r="G410" s="9">
        <v>0.32</v>
      </c>
      <c r="H410" s="4">
        <v>4</v>
      </c>
      <c r="I410" s="4" t="s">
        <v>18</v>
      </c>
      <c r="J410" s="4" t="s">
        <v>724</v>
      </c>
      <c r="K410" s="4" t="s">
        <v>733</v>
      </c>
      <c r="L410" s="4" t="s">
        <v>23</v>
      </c>
      <c r="M410" s="11" t="s">
        <v>949</v>
      </c>
      <c r="Q410" s="4" t="s">
        <v>41</v>
      </c>
      <c r="R410" t="str">
        <f t="shared" si="24"/>
        <v>Succulent</v>
      </c>
      <c r="U410" t="s">
        <v>742</v>
      </c>
      <c r="V410" s="4">
        <v>409</v>
      </c>
      <c r="W410" s="4" t="s">
        <v>682</v>
      </c>
      <c r="X410" s="4" t="str">
        <f t="shared" si="25"/>
        <v>09</v>
      </c>
      <c r="Y410" s="4" t="str">
        <f t="shared" si="26"/>
        <v>409</v>
      </c>
      <c r="Z410" s="4" t="str">
        <f t="shared" si="27"/>
        <v>1754310741</v>
      </c>
    </row>
    <row r="411" spans="1:26" x14ac:dyDescent="0.3">
      <c r="A411" s="4">
        <v>1754310743</v>
      </c>
      <c r="B411" s="4">
        <v>410</v>
      </c>
      <c r="C411" s="4" t="s">
        <v>40</v>
      </c>
      <c r="D411" s="4" t="s">
        <v>752</v>
      </c>
      <c r="E411" s="2">
        <v>749</v>
      </c>
      <c r="F411" s="2">
        <v>516</v>
      </c>
      <c r="G411" s="9">
        <v>0.31</v>
      </c>
      <c r="H411" s="4">
        <v>3.6</v>
      </c>
      <c r="I411" s="4" t="s">
        <v>18</v>
      </c>
      <c r="J411" s="4" t="s">
        <v>724</v>
      </c>
      <c r="K411" s="4" t="s">
        <v>733</v>
      </c>
      <c r="L411" s="4" t="s">
        <v>23</v>
      </c>
      <c r="M411" s="11" t="s">
        <v>949</v>
      </c>
      <c r="Q411" s="4" t="s">
        <v>41</v>
      </c>
      <c r="R411" t="str">
        <f t="shared" si="24"/>
        <v>Succulent</v>
      </c>
      <c r="U411" t="s">
        <v>742</v>
      </c>
      <c r="V411" s="4">
        <v>410</v>
      </c>
      <c r="W411" s="4" t="s">
        <v>683</v>
      </c>
      <c r="X411" s="4" t="str">
        <f t="shared" si="25"/>
        <v>10</v>
      </c>
      <c r="Y411" s="4" t="str">
        <f t="shared" si="26"/>
        <v>410</v>
      </c>
      <c r="Z411" s="4" t="str">
        <f t="shared" si="27"/>
        <v>1754310743</v>
      </c>
    </row>
    <row r="412" spans="1:26" x14ac:dyDescent="0.3">
      <c r="A412" s="4">
        <v>1754310746</v>
      </c>
      <c r="B412" s="4">
        <v>411</v>
      </c>
      <c r="C412" s="4" t="s">
        <v>633</v>
      </c>
      <c r="D412" s="4" t="s">
        <v>918</v>
      </c>
      <c r="E412" s="2">
        <v>299</v>
      </c>
      <c r="F412" s="2">
        <v>145</v>
      </c>
      <c r="G412" s="9">
        <v>0.51</v>
      </c>
      <c r="H412" s="4">
        <v>3.3</v>
      </c>
      <c r="I412" s="4" t="s">
        <v>13</v>
      </c>
      <c r="J412" s="4" t="s">
        <v>728</v>
      </c>
      <c r="K412" s="4" t="s">
        <v>732</v>
      </c>
      <c r="L412" s="4" t="s">
        <v>29</v>
      </c>
      <c r="M412" s="11" t="s">
        <v>949</v>
      </c>
      <c r="Q412" s="4" t="s">
        <v>68</v>
      </c>
      <c r="R412" t="str">
        <f t="shared" si="24"/>
        <v>Fruit</v>
      </c>
      <c r="U412" t="s">
        <v>742</v>
      </c>
      <c r="V412" s="4">
        <v>411</v>
      </c>
      <c r="W412" s="4" t="s">
        <v>684</v>
      </c>
      <c r="X412" s="4" t="str">
        <f t="shared" si="25"/>
        <v>11</v>
      </c>
      <c r="Y412" s="4" t="str">
        <f t="shared" si="26"/>
        <v>411</v>
      </c>
      <c r="Z412" s="4" t="str">
        <f t="shared" si="27"/>
        <v>1754310746</v>
      </c>
    </row>
    <row r="413" spans="1:26" x14ac:dyDescent="0.3">
      <c r="A413" s="4">
        <v>1754310748</v>
      </c>
      <c r="B413" s="4">
        <v>412</v>
      </c>
      <c r="C413" s="4" t="s">
        <v>433</v>
      </c>
      <c r="D413" s="4" t="s">
        <v>875</v>
      </c>
      <c r="E413" s="2">
        <v>699</v>
      </c>
      <c r="F413" s="2">
        <v>212</v>
      </c>
      <c r="G413" s="9">
        <v>0.69</v>
      </c>
      <c r="H413" s="4">
        <v>4</v>
      </c>
      <c r="I413" s="4" t="s">
        <v>13</v>
      </c>
      <c r="J413" s="4" t="s">
        <v>725</v>
      </c>
      <c r="K413" s="4" t="s">
        <v>737</v>
      </c>
      <c r="L413" s="4" t="s">
        <v>434</v>
      </c>
      <c r="M413" s="11" t="s">
        <v>949</v>
      </c>
      <c r="Q413" s="4" t="s">
        <v>47</v>
      </c>
      <c r="R413" t="str">
        <f t="shared" si="24"/>
        <v>Air purifier plant</v>
      </c>
      <c r="U413" t="s">
        <v>742</v>
      </c>
      <c r="V413" s="4">
        <v>412</v>
      </c>
      <c r="W413" s="4" t="s">
        <v>685</v>
      </c>
      <c r="X413" s="4" t="str">
        <f t="shared" si="25"/>
        <v>12</v>
      </c>
      <c r="Y413" s="4" t="str">
        <f t="shared" si="26"/>
        <v>412</v>
      </c>
      <c r="Z413" s="4" t="str">
        <f t="shared" si="27"/>
        <v>1754310748</v>
      </c>
    </row>
    <row r="414" spans="1:26" x14ac:dyDescent="0.3">
      <c r="A414" s="4">
        <v>1754310756</v>
      </c>
      <c r="B414" s="4">
        <v>413</v>
      </c>
      <c r="C414" s="4" t="s">
        <v>50</v>
      </c>
      <c r="D414" s="4" t="s">
        <v>755</v>
      </c>
      <c r="E414" s="2">
        <v>549</v>
      </c>
      <c r="F414" s="2">
        <v>388</v>
      </c>
      <c r="G414" s="9">
        <v>0.28999999999999998</v>
      </c>
      <c r="H414" s="4">
        <v>4.3</v>
      </c>
      <c r="I414" s="4" t="s">
        <v>18</v>
      </c>
      <c r="J414" s="4" t="s">
        <v>726</v>
      </c>
      <c r="K414" s="4" t="s">
        <v>733</v>
      </c>
      <c r="L414" s="4" t="s">
        <v>23</v>
      </c>
      <c r="M414" s="11" t="s">
        <v>949</v>
      </c>
      <c r="Q414" s="4" t="s">
        <v>51</v>
      </c>
      <c r="R414" t="str">
        <f t="shared" si="24"/>
        <v>Foliage</v>
      </c>
      <c r="U414" t="s">
        <v>742</v>
      </c>
      <c r="V414" s="4">
        <v>413</v>
      </c>
      <c r="W414" s="4" t="s">
        <v>686</v>
      </c>
      <c r="X414" s="4" t="str">
        <f t="shared" si="25"/>
        <v>13</v>
      </c>
      <c r="Y414" s="4" t="str">
        <f t="shared" si="26"/>
        <v>413</v>
      </c>
      <c r="Z414" s="4" t="str">
        <f t="shared" si="27"/>
        <v>1754310756</v>
      </c>
    </row>
    <row r="415" spans="1:26" x14ac:dyDescent="0.3">
      <c r="A415" s="4">
        <v>1754310758</v>
      </c>
      <c r="B415" s="4">
        <v>414</v>
      </c>
      <c r="C415" s="4" t="s">
        <v>25</v>
      </c>
      <c r="D415" s="4" t="s">
        <v>747</v>
      </c>
      <c r="E415" s="2">
        <v>449</v>
      </c>
      <c r="F415" s="2">
        <v>349</v>
      </c>
      <c r="G415" s="9">
        <v>0.22</v>
      </c>
      <c r="H415" s="4">
        <v>4.3</v>
      </c>
      <c r="I415" s="4" t="s">
        <v>18</v>
      </c>
      <c r="J415" s="4" t="s">
        <v>722</v>
      </c>
      <c r="K415" s="4" t="s">
        <v>733</v>
      </c>
      <c r="L415" s="4" t="s">
        <v>23</v>
      </c>
      <c r="M415" s="11" t="s">
        <v>949</v>
      </c>
      <c r="Q415" s="4" t="s">
        <v>22</v>
      </c>
      <c r="R415" t="str">
        <f t="shared" si="24"/>
        <v>Shrub</v>
      </c>
      <c r="U415" t="s">
        <v>746</v>
      </c>
      <c r="V415" s="4">
        <v>414</v>
      </c>
      <c r="W415" s="4" t="s">
        <v>687</v>
      </c>
      <c r="X415" s="4" t="str">
        <f t="shared" si="25"/>
        <v>14</v>
      </c>
      <c r="Y415" s="4" t="str">
        <f t="shared" si="26"/>
        <v>414</v>
      </c>
      <c r="Z415" s="4" t="str">
        <f t="shared" si="27"/>
        <v>1754310758</v>
      </c>
    </row>
    <row r="416" spans="1:26" x14ac:dyDescent="0.3">
      <c r="A416" s="4">
        <v>1754310761</v>
      </c>
      <c r="B416" s="4">
        <v>415</v>
      </c>
      <c r="C416" s="4" t="s">
        <v>638</v>
      </c>
      <c r="D416" s="4" t="s">
        <v>919</v>
      </c>
      <c r="E416" s="2">
        <v>1099</v>
      </c>
      <c r="F416" s="2">
        <v>300</v>
      </c>
      <c r="G416" s="9">
        <v>0.72</v>
      </c>
      <c r="H416" s="4">
        <v>4.4000000000000004</v>
      </c>
      <c r="I416" s="4" t="s">
        <v>13</v>
      </c>
      <c r="J416" s="4" t="s">
        <v>727</v>
      </c>
      <c r="K416" s="4" t="s">
        <v>733</v>
      </c>
      <c r="L416" s="4" t="s">
        <v>419</v>
      </c>
      <c r="M416" s="11" t="s">
        <v>949</v>
      </c>
      <c r="Q416" s="4" t="s">
        <v>56</v>
      </c>
      <c r="R416" t="str">
        <f t="shared" si="24"/>
        <v>Bamboo</v>
      </c>
      <c r="U416" t="s">
        <v>742</v>
      </c>
      <c r="V416" s="4">
        <v>415</v>
      </c>
      <c r="W416" s="4" t="s">
        <v>688</v>
      </c>
      <c r="X416" s="4" t="str">
        <f t="shared" si="25"/>
        <v>15</v>
      </c>
      <c r="Y416" s="4" t="str">
        <f t="shared" si="26"/>
        <v>415</v>
      </c>
      <c r="Z416" s="4" t="str">
        <f t="shared" si="27"/>
        <v>1754310761</v>
      </c>
    </row>
    <row r="417" spans="1:26" x14ac:dyDescent="0.3">
      <c r="A417" s="4">
        <v>1754310764</v>
      </c>
      <c r="B417" s="4">
        <v>416</v>
      </c>
      <c r="C417" s="4" t="s">
        <v>438</v>
      </c>
      <c r="D417" s="4" t="s">
        <v>877</v>
      </c>
      <c r="E417" s="2">
        <v>759</v>
      </c>
      <c r="F417" s="2">
        <v>120</v>
      </c>
      <c r="G417" s="9">
        <v>0.84</v>
      </c>
      <c r="H417" s="4">
        <v>3.5</v>
      </c>
      <c r="I417" s="4" t="s">
        <v>18</v>
      </c>
      <c r="J417" s="4" t="s">
        <v>728</v>
      </c>
      <c r="K417" s="4" t="s">
        <v>732</v>
      </c>
      <c r="L417" s="4" t="s">
        <v>439</v>
      </c>
      <c r="M417" s="11" t="s">
        <v>949</v>
      </c>
      <c r="Q417" s="4" t="s">
        <v>68</v>
      </c>
      <c r="R417" t="str">
        <f t="shared" si="24"/>
        <v>Fruit</v>
      </c>
      <c r="U417" t="s">
        <v>742</v>
      </c>
      <c r="V417" s="4">
        <v>416</v>
      </c>
      <c r="W417" s="4" t="s">
        <v>689</v>
      </c>
      <c r="X417" s="4" t="str">
        <f t="shared" si="25"/>
        <v>16</v>
      </c>
      <c r="Y417" s="4" t="str">
        <f t="shared" si="26"/>
        <v>416</v>
      </c>
      <c r="Z417" s="4" t="str">
        <f t="shared" si="27"/>
        <v>1754310764</v>
      </c>
    </row>
    <row r="418" spans="1:26" x14ac:dyDescent="0.3">
      <c r="A418" s="4">
        <v>1754310767</v>
      </c>
      <c r="B418" s="4">
        <v>417</v>
      </c>
      <c r="C418" s="4" t="s">
        <v>641</v>
      </c>
      <c r="D418" s="4" t="s">
        <v>920</v>
      </c>
      <c r="E418" s="2">
        <v>599</v>
      </c>
      <c r="F418" s="2">
        <v>177</v>
      </c>
      <c r="G418" s="9">
        <v>0.7</v>
      </c>
      <c r="H418" s="4">
        <v>3.4</v>
      </c>
      <c r="I418" s="4" t="s">
        <v>13</v>
      </c>
      <c r="J418" s="4" t="s">
        <v>729</v>
      </c>
      <c r="K418" s="4" t="s">
        <v>732</v>
      </c>
      <c r="L418" s="4" t="s">
        <v>642</v>
      </c>
      <c r="M418" s="11" t="s">
        <v>949</v>
      </c>
      <c r="Q418" s="4" t="s">
        <v>177</v>
      </c>
      <c r="R418" t="str">
        <f t="shared" si="24"/>
        <v>Flower</v>
      </c>
      <c r="U418" t="s">
        <v>788</v>
      </c>
      <c r="V418" s="4">
        <v>417</v>
      </c>
      <c r="W418" s="4" t="s">
        <v>690</v>
      </c>
      <c r="X418" s="4" t="str">
        <f t="shared" si="25"/>
        <v>17</v>
      </c>
      <c r="Y418" s="4" t="str">
        <f t="shared" si="26"/>
        <v>417</v>
      </c>
      <c r="Z418" s="4" t="str">
        <f t="shared" si="27"/>
        <v>1754310767</v>
      </c>
    </row>
    <row r="419" spans="1:26" x14ac:dyDescent="0.3">
      <c r="A419" s="4">
        <v>1754310769</v>
      </c>
      <c r="B419" s="4">
        <v>418</v>
      </c>
      <c r="C419" s="4" t="s">
        <v>528</v>
      </c>
      <c r="D419" s="4" t="s">
        <v>900</v>
      </c>
      <c r="E419" s="2">
        <v>299</v>
      </c>
      <c r="F419" s="2">
        <v>145</v>
      </c>
      <c r="G419" s="9">
        <v>0.51</v>
      </c>
      <c r="H419" s="4">
        <v>4.3</v>
      </c>
      <c r="I419" s="4" t="s">
        <v>13</v>
      </c>
      <c r="J419" s="4" t="s">
        <v>728</v>
      </c>
      <c r="K419" s="4" t="s">
        <v>732</v>
      </c>
      <c r="L419" s="4" t="s">
        <v>29</v>
      </c>
      <c r="M419" s="11" t="s">
        <v>949</v>
      </c>
      <c r="Q419" s="4" t="s">
        <v>68</v>
      </c>
      <c r="R419" t="str">
        <f t="shared" si="24"/>
        <v>Fruit</v>
      </c>
      <c r="U419" t="s">
        <v>742</v>
      </c>
      <c r="V419" s="4">
        <v>418</v>
      </c>
      <c r="W419" s="4" t="s">
        <v>691</v>
      </c>
      <c r="X419" s="4" t="str">
        <f t="shared" si="25"/>
        <v>18</v>
      </c>
      <c r="Y419" s="4" t="str">
        <f t="shared" si="26"/>
        <v>418</v>
      </c>
      <c r="Z419" s="4" t="str">
        <f t="shared" si="27"/>
        <v>1754310769</v>
      </c>
    </row>
    <row r="420" spans="1:26" x14ac:dyDescent="0.3">
      <c r="A420" s="4">
        <v>1754310772</v>
      </c>
      <c r="B420" s="4">
        <v>419</v>
      </c>
      <c r="C420" s="4" t="s">
        <v>25</v>
      </c>
      <c r="D420" s="4" t="s">
        <v>747</v>
      </c>
      <c r="E420" s="2">
        <v>449</v>
      </c>
      <c r="F420" s="2">
        <v>349</v>
      </c>
      <c r="G420" s="9">
        <v>0.22</v>
      </c>
      <c r="H420" s="4">
        <v>4.3</v>
      </c>
      <c r="I420" s="4" t="s">
        <v>18</v>
      </c>
      <c r="J420" s="4" t="s">
        <v>722</v>
      </c>
      <c r="K420" s="4" t="s">
        <v>733</v>
      </c>
      <c r="L420" s="4" t="s">
        <v>23</v>
      </c>
      <c r="M420" s="11" t="s">
        <v>949</v>
      </c>
      <c r="Q420" s="4" t="s">
        <v>22</v>
      </c>
      <c r="R420" t="str">
        <f t="shared" si="24"/>
        <v>Shrub</v>
      </c>
      <c r="U420" t="s">
        <v>746</v>
      </c>
      <c r="V420" s="4">
        <v>419</v>
      </c>
      <c r="W420" s="4" t="s">
        <v>692</v>
      </c>
      <c r="X420" s="4" t="str">
        <f t="shared" si="25"/>
        <v>19</v>
      </c>
      <c r="Y420" s="4" t="str">
        <f t="shared" si="26"/>
        <v>419</v>
      </c>
      <c r="Z420" s="4" t="str">
        <f t="shared" si="27"/>
        <v>1754310772</v>
      </c>
    </row>
    <row r="421" spans="1:26" x14ac:dyDescent="0.3">
      <c r="A421" s="4">
        <v>1754310775</v>
      </c>
      <c r="B421" s="4">
        <v>420</v>
      </c>
      <c r="C421" s="4" t="s">
        <v>40</v>
      </c>
      <c r="D421" s="4" t="s">
        <v>752</v>
      </c>
      <c r="E421" s="2">
        <v>499</v>
      </c>
      <c r="F421" s="2">
        <v>424</v>
      </c>
      <c r="G421" s="9">
        <v>0.15</v>
      </c>
      <c r="H421" s="4">
        <v>4.3</v>
      </c>
      <c r="I421" s="4" t="s">
        <v>18</v>
      </c>
      <c r="J421" s="4" t="s">
        <v>724</v>
      </c>
      <c r="K421" s="4" t="s">
        <v>733</v>
      </c>
      <c r="L421" s="4" t="s">
        <v>23</v>
      </c>
      <c r="M421" s="11" t="s">
        <v>949</v>
      </c>
      <c r="Q421" s="4" t="s">
        <v>41</v>
      </c>
      <c r="R421" t="str">
        <f t="shared" si="24"/>
        <v>Succulent</v>
      </c>
      <c r="U421" t="s">
        <v>742</v>
      </c>
      <c r="V421" s="4">
        <v>420</v>
      </c>
      <c r="W421" s="4" t="s">
        <v>693</v>
      </c>
      <c r="X421" s="4" t="str">
        <f t="shared" si="25"/>
        <v>20</v>
      </c>
      <c r="Y421" s="4" t="str">
        <f t="shared" si="26"/>
        <v>420</v>
      </c>
      <c r="Z421" s="4" t="str">
        <f t="shared" si="27"/>
        <v>1754310775</v>
      </c>
    </row>
    <row r="422" spans="1:26" x14ac:dyDescent="0.3">
      <c r="A422" s="4">
        <v>1754310777</v>
      </c>
      <c r="B422" s="4">
        <v>421</v>
      </c>
      <c r="C422" s="4" t="s">
        <v>647</v>
      </c>
      <c r="D422" s="4" t="s">
        <v>921</v>
      </c>
      <c r="E422" s="2">
        <v>579</v>
      </c>
      <c r="F422" s="2">
        <v>135</v>
      </c>
      <c r="G422" s="9">
        <v>0.76</v>
      </c>
      <c r="H422" s="4">
        <v>3.3</v>
      </c>
      <c r="I422" s="4" t="s">
        <v>18</v>
      </c>
      <c r="J422" s="4" t="s">
        <v>728</v>
      </c>
      <c r="K422" s="4" t="s">
        <v>732</v>
      </c>
      <c r="L422" s="4" t="s">
        <v>253</v>
      </c>
      <c r="M422" s="11" t="s">
        <v>949</v>
      </c>
      <c r="Q422" s="4" t="s">
        <v>68</v>
      </c>
      <c r="R422" t="str">
        <f t="shared" si="24"/>
        <v>Fruit</v>
      </c>
      <c r="U422" t="s">
        <v>742</v>
      </c>
      <c r="V422" s="4">
        <v>421</v>
      </c>
      <c r="W422" s="4" t="s">
        <v>694</v>
      </c>
      <c r="X422" s="4" t="str">
        <f t="shared" si="25"/>
        <v>21</v>
      </c>
      <c r="Y422" s="4" t="str">
        <f t="shared" si="26"/>
        <v>421</v>
      </c>
      <c r="Z422" s="4" t="str">
        <f t="shared" si="27"/>
        <v>1754310777</v>
      </c>
    </row>
    <row r="423" spans="1:26" x14ac:dyDescent="0.3">
      <c r="A423" s="4">
        <v>1754310780</v>
      </c>
      <c r="B423" s="4">
        <v>422</v>
      </c>
      <c r="C423" s="4" t="s">
        <v>536</v>
      </c>
      <c r="D423" s="4" t="s">
        <v>903</v>
      </c>
      <c r="E423" s="2">
        <v>499</v>
      </c>
      <c r="F423" s="2">
        <v>135</v>
      </c>
      <c r="G423" s="9">
        <v>0.72</v>
      </c>
      <c r="H423" s="4">
        <v>4</v>
      </c>
      <c r="I423" s="4" t="s">
        <v>18</v>
      </c>
      <c r="J423" s="4" t="s">
        <v>728</v>
      </c>
      <c r="K423" s="4" t="s">
        <v>732</v>
      </c>
      <c r="L423" s="4" t="s">
        <v>121</v>
      </c>
      <c r="M423" s="11" t="s">
        <v>949</v>
      </c>
      <c r="Q423" s="4" t="s">
        <v>68</v>
      </c>
      <c r="R423" t="str">
        <f t="shared" si="24"/>
        <v>Fruit</v>
      </c>
      <c r="U423" t="s">
        <v>742</v>
      </c>
      <c r="V423" s="4">
        <v>422</v>
      </c>
      <c r="W423" s="4" t="s">
        <v>695</v>
      </c>
      <c r="X423" s="4" t="str">
        <f t="shared" si="25"/>
        <v>22</v>
      </c>
      <c r="Y423" s="4" t="str">
        <f t="shared" si="26"/>
        <v>422</v>
      </c>
      <c r="Z423" s="4" t="str">
        <f t="shared" si="27"/>
        <v>1754310780</v>
      </c>
    </row>
    <row r="424" spans="1:26" x14ac:dyDescent="0.3">
      <c r="A424" s="4">
        <v>1754310782</v>
      </c>
      <c r="B424" s="4">
        <v>423</v>
      </c>
      <c r="C424" s="4" t="s">
        <v>21</v>
      </c>
      <c r="D424" s="4" t="s">
        <v>745</v>
      </c>
      <c r="E424" s="2">
        <v>449</v>
      </c>
      <c r="F424" s="2">
        <v>359</v>
      </c>
      <c r="G424" s="9">
        <v>0.2</v>
      </c>
      <c r="H424" s="4">
        <v>4.4000000000000004</v>
      </c>
      <c r="I424" s="4" t="s">
        <v>18</v>
      </c>
      <c r="J424" s="4" t="s">
        <v>722</v>
      </c>
      <c r="K424" s="4" t="s">
        <v>733</v>
      </c>
      <c r="L424" s="4" t="s">
        <v>23</v>
      </c>
      <c r="M424" s="11" t="s">
        <v>949</v>
      </c>
      <c r="Q424" s="4" t="s">
        <v>22</v>
      </c>
      <c r="R424" t="str">
        <f t="shared" si="24"/>
        <v>Shrub</v>
      </c>
      <c r="U424" t="s">
        <v>746</v>
      </c>
      <c r="V424" s="4">
        <v>423</v>
      </c>
      <c r="W424" s="4" t="s">
        <v>696</v>
      </c>
      <c r="X424" s="4" t="str">
        <f t="shared" si="25"/>
        <v>23</v>
      </c>
      <c r="Y424" s="4" t="str">
        <f t="shared" si="26"/>
        <v>423</v>
      </c>
      <c r="Z424" s="4" t="str">
        <f t="shared" si="27"/>
        <v>1754310782</v>
      </c>
    </row>
    <row r="425" spans="1:26" x14ac:dyDescent="0.3">
      <c r="A425" s="4">
        <v>1754310785</v>
      </c>
      <c r="B425" s="4">
        <v>424</v>
      </c>
      <c r="C425" s="4" t="s">
        <v>40</v>
      </c>
      <c r="D425" s="4" t="s">
        <v>752</v>
      </c>
      <c r="E425" s="2">
        <v>449</v>
      </c>
      <c r="F425" s="2">
        <v>335</v>
      </c>
      <c r="G425" s="9">
        <v>0.25</v>
      </c>
      <c r="H425" s="4">
        <v>4</v>
      </c>
      <c r="I425" s="4" t="s">
        <v>18</v>
      </c>
      <c r="J425" s="4" t="s">
        <v>724</v>
      </c>
      <c r="K425" s="4" t="s">
        <v>733</v>
      </c>
      <c r="L425" s="4" t="s">
        <v>23</v>
      </c>
      <c r="M425" s="11" t="s">
        <v>949</v>
      </c>
      <c r="Q425" s="4" t="s">
        <v>41</v>
      </c>
      <c r="R425" t="str">
        <f t="shared" si="24"/>
        <v>Succulent</v>
      </c>
      <c r="U425" t="s">
        <v>742</v>
      </c>
      <c r="V425" s="4">
        <v>424</v>
      </c>
      <c r="W425" s="4" t="s">
        <v>697</v>
      </c>
      <c r="X425" s="4" t="str">
        <f t="shared" si="25"/>
        <v>24</v>
      </c>
      <c r="Y425" s="4" t="str">
        <f t="shared" si="26"/>
        <v>424</v>
      </c>
      <c r="Z425" s="4" t="str">
        <f t="shared" si="27"/>
        <v>1754310785</v>
      </c>
    </row>
    <row r="426" spans="1:26" x14ac:dyDescent="0.3">
      <c r="A426" s="4">
        <v>1754310796</v>
      </c>
      <c r="B426" s="4">
        <v>425</v>
      </c>
      <c r="C426" s="4" t="s">
        <v>652</v>
      </c>
      <c r="D426" s="4" t="s">
        <v>922</v>
      </c>
      <c r="E426" s="2">
        <v>789</v>
      </c>
      <c r="F426" s="2">
        <v>286</v>
      </c>
      <c r="G426" s="9">
        <v>0.63</v>
      </c>
      <c r="H426" s="4">
        <v>3.3</v>
      </c>
      <c r="I426" s="4" t="s">
        <v>18</v>
      </c>
      <c r="J426" s="4" t="s">
        <v>729</v>
      </c>
      <c r="K426" s="4" t="s">
        <v>737</v>
      </c>
      <c r="L426" s="4" t="s">
        <v>79</v>
      </c>
      <c r="M426" s="11" t="s">
        <v>949</v>
      </c>
      <c r="Q426" s="4" t="s">
        <v>177</v>
      </c>
      <c r="R426" t="str">
        <f t="shared" si="24"/>
        <v>Flower</v>
      </c>
      <c r="U426" t="s">
        <v>923</v>
      </c>
      <c r="V426" s="4">
        <v>425</v>
      </c>
      <c r="W426" s="4" t="s">
        <v>698</v>
      </c>
      <c r="X426" s="4" t="str">
        <f t="shared" si="25"/>
        <v>25</v>
      </c>
      <c r="Y426" s="4" t="str">
        <f t="shared" si="26"/>
        <v>425</v>
      </c>
      <c r="Z426" s="4" t="str">
        <f t="shared" si="27"/>
        <v>1754310796</v>
      </c>
    </row>
    <row r="427" spans="1:26" x14ac:dyDescent="0.3">
      <c r="A427" s="4">
        <v>1754310799</v>
      </c>
      <c r="B427" s="4">
        <v>426</v>
      </c>
      <c r="C427" s="4" t="s">
        <v>284</v>
      </c>
      <c r="D427" s="4" t="s">
        <v>821</v>
      </c>
      <c r="E427" s="2">
        <v>499</v>
      </c>
      <c r="F427" s="2">
        <v>142</v>
      </c>
      <c r="G427" s="9">
        <v>0.71</v>
      </c>
      <c r="H427" s="4">
        <v>3.3</v>
      </c>
      <c r="I427" s="4" t="s">
        <v>13</v>
      </c>
      <c r="J427" s="4" t="s">
        <v>728</v>
      </c>
      <c r="K427" s="4" t="s">
        <v>732</v>
      </c>
      <c r="L427" s="4" t="s">
        <v>121</v>
      </c>
      <c r="M427" s="11" t="s">
        <v>949</v>
      </c>
      <c r="Q427" s="4" t="s">
        <v>68</v>
      </c>
      <c r="R427" t="str">
        <f t="shared" si="24"/>
        <v>Fruit</v>
      </c>
      <c r="U427" t="s">
        <v>742</v>
      </c>
      <c r="V427" s="4">
        <v>426</v>
      </c>
      <c r="W427" s="4" t="s">
        <v>699</v>
      </c>
      <c r="X427" s="4" t="str">
        <f t="shared" si="25"/>
        <v>26</v>
      </c>
      <c r="Y427" s="4" t="str">
        <f t="shared" si="26"/>
        <v>426</v>
      </c>
      <c r="Z427" s="4" t="str">
        <f t="shared" si="27"/>
        <v>1754310799</v>
      </c>
    </row>
    <row r="428" spans="1:26" x14ac:dyDescent="0.3">
      <c r="A428" s="4">
        <v>1754310801</v>
      </c>
      <c r="B428" s="4">
        <v>427</v>
      </c>
      <c r="C428" s="4" t="s">
        <v>655</v>
      </c>
      <c r="D428" s="4" t="s">
        <v>924</v>
      </c>
      <c r="E428" s="2">
        <v>998</v>
      </c>
      <c r="F428" s="2">
        <v>283</v>
      </c>
      <c r="G428" s="9">
        <v>0.71</v>
      </c>
      <c r="H428" s="4">
        <v>4</v>
      </c>
      <c r="I428" s="4" t="s">
        <v>18</v>
      </c>
      <c r="J428" s="4" t="s">
        <v>728</v>
      </c>
      <c r="K428" s="4" t="s">
        <v>737</v>
      </c>
      <c r="L428" s="4" t="s">
        <v>656</v>
      </c>
      <c r="M428" s="11" t="s">
        <v>949</v>
      </c>
      <c r="Q428" s="4" t="s">
        <v>68</v>
      </c>
      <c r="R428" t="str">
        <f t="shared" si="24"/>
        <v>Fruit</v>
      </c>
      <c r="U428" t="s">
        <v>742</v>
      </c>
      <c r="V428" s="4">
        <v>427</v>
      </c>
      <c r="W428" s="4" t="s">
        <v>700</v>
      </c>
      <c r="X428" s="4" t="str">
        <f t="shared" si="25"/>
        <v>27</v>
      </c>
      <c r="Y428" s="4" t="str">
        <f t="shared" si="26"/>
        <v>427</v>
      </c>
      <c r="Z428" s="4" t="str">
        <f t="shared" si="27"/>
        <v>1754310801</v>
      </c>
    </row>
    <row r="429" spans="1:26" x14ac:dyDescent="0.3">
      <c r="A429" s="4">
        <v>1754310804</v>
      </c>
      <c r="B429" s="4">
        <v>428</v>
      </c>
      <c r="C429" s="4" t="s">
        <v>658</v>
      </c>
      <c r="D429" s="4" t="s">
        <v>925</v>
      </c>
      <c r="E429" s="2">
        <v>599</v>
      </c>
      <c r="F429" s="2">
        <v>147</v>
      </c>
      <c r="G429" s="9">
        <v>0.75</v>
      </c>
      <c r="H429" s="4">
        <v>3.4</v>
      </c>
      <c r="I429" s="4" t="s">
        <v>18</v>
      </c>
      <c r="J429" s="4" t="s">
        <v>728</v>
      </c>
      <c r="K429" s="4" t="s">
        <v>732</v>
      </c>
      <c r="L429" s="4" t="s">
        <v>115</v>
      </c>
      <c r="M429" s="11" t="s">
        <v>949</v>
      </c>
      <c r="Q429" s="4" t="s">
        <v>68</v>
      </c>
      <c r="R429" t="str">
        <f t="shared" si="24"/>
        <v>Fruit</v>
      </c>
      <c r="U429" t="s">
        <v>742</v>
      </c>
      <c r="V429" s="4">
        <v>428</v>
      </c>
      <c r="W429" s="4" t="s">
        <v>701</v>
      </c>
      <c r="X429" s="4" t="str">
        <f t="shared" si="25"/>
        <v>28</v>
      </c>
      <c r="Y429" s="4" t="str">
        <f t="shared" si="26"/>
        <v>428</v>
      </c>
      <c r="Z429" s="4" t="str">
        <f t="shared" si="27"/>
        <v>1754310804</v>
      </c>
    </row>
    <row r="430" spans="1:26" x14ac:dyDescent="0.3">
      <c r="A430" s="4">
        <v>1754310806</v>
      </c>
      <c r="B430" s="4">
        <v>429</v>
      </c>
      <c r="C430" s="4" t="s">
        <v>40</v>
      </c>
      <c r="D430" s="4" t="s">
        <v>752</v>
      </c>
      <c r="E430" s="2">
        <v>499</v>
      </c>
      <c r="F430" s="2">
        <v>426</v>
      </c>
      <c r="G430" s="9">
        <v>0.14000000000000001</v>
      </c>
      <c r="H430" s="4">
        <v>4.2</v>
      </c>
      <c r="I430" s="4" t="s">
        <v>18</v>
      </c>
      <c r="J430" s="4" t="s">
        <v>724</v>
      </c>
      <c r="K430" s="4" t="s">
        <v>733</v>
      </c>
      <c r="L430" s="4" t="s">
        <v>23</v>
      </c>
      <c r="M430" s="11" t="s">
        <v>949</v>
      </c>
      <c r="Q430" s="4" t="s">
        <v>41</v>
      </c>
      <c r="R430" t="str">
        <f t="shared" si="24"/>
        <v>Succulent</v>
      </c>
      <c r="U430" t="s">
        <v>742</v>
      </c>
      <c r="V430" s="4">
        <v>429</v>
      </c>
      <c r="W430" s="4" t="s">
        <v>702</v>
      </c>
      <c r="X430" s="4" t="str">
        <f t="shared" si="25"/>
        <v>29</v>
      </c>
      <c r="Y430" s="4" t="str">
        <f t="shared" si="26"/>
        <v>429</v>
      </c>
      <c r="Z430" s="4" t="str">
        <f t="shared" si="27"/>
        <v>1754310806</v>
      </c>
    </row>
    <row r="431" spans="1:26" x14ac:dyDescent="0.3">
      <c r="A431" s="4">
        <v>1754310809</v>
      </c>
      <c r="B431" s="4">
        <v>430</v>
      </c>
      <c r="C431" s="4" t="s">
        <v>40</v>
      </c>
      <c r="D431" s="4" t="s">
        <v>752</v>
      </c>
      <c r="E431" s="2">
        <v>499</v>
      </c>
      <c r="F431" s="2">
        <v>335</v>
      </c>
      <c r="G431" s="9">
        <v>0.32</v>
      </c>
      <c r="H431" s="4">
        <v>4</v>
      </c>
      <c r="I431" s="4" t="s">
        <v>18</v>
      </c>
      <c r="J431" s="4" t="s">
        <v>724</v>
      </c>
      <c r="K431" s="4" t="s">
        <v>733</v>
      </c>
      <c r="L431" s="4" t="s">
        <v>23</v>
      </c>
      <c r="M431" s="11" t="s">
        <v>949</v>
      </c>
      <c r="Q431" s="4" t="s">
        <v>41</v>
      </c>
      <c r="R431" t="str">
        <f t="shared" si="24"/>
        <v>Succulent</v>
      </c>
      <c r="U431" t="s">
        <v>742</v>
      </c>
      <c r="V431" s="4">
        <v>430</v>
      </c>
      <c r="W431" s="4" t="s">
        <v>703</v>
      </c>
      <c r="X431" s="4" t="str">
        <f t="shared" si="25"/>
        <v>30</v>
      </c>
      <c r="Y431" s="4" t="str">
        <f t="shared" si="26"/>
        <v>430</v>
      </c>
      <c r="Z431" s="4" t="str">
        <f t="shared" si="27"/>
        <v>1754310809</v>
      </c>
    </row>
    <row r="432" spans="1:26" x14ac:dyDescent="0.3">
      <c r="A432" s="4">
        <v>1754310811</v>
      </c>
      <c r="B432" s="4">
        <v>431</v>
      </c>
      <c r="C432" s="4" t="s">
        <v>608</v>
      </c>
      <c r="D432" s="4" t="s">
        <v>914</v>
      </c>
      <c r="E432" s="2">
        <v>400</v>
      </c>
      <c r="F432" s="2">
        <v>179</v>
      </c>
      <c r="G432" s="9">
        <v>0.55000000000000004</v>
      </c>
      <c r="H432" s="4">
        <v>3.4</v>
      </c>
      <c r="I432" s="4" t="s">
        <v>13</v>
      </c>
      <c r="J432" s="4" t="s">
        <v>729</v>
      </c>
      <c r="K432" s="4" t="s">
        <v>733</v>
      </c>
      <c r="L432" s="4" t="s">
        <v>29</v>
      </c>
      <c r="M432" s="11" t="s">
        <v>949</v>
      </c>
      <c r="Q432" s="4" t="s">
        <v>177</v>
      </c>
      <c r="R432" t="str">
        <f t="shared" si="24"/>
        <v>Flower</v>
      </c>
      <c r="U432" t="s">
        <v>744</v>
      </c>
      <c r="V432" s="4">
        <v>431</v>
      </c>
      <c r="W432" s="4" t="s">
        <v>704</v>
      </c>
      <c r="X432" s="4" t="str">
        <f t="shared" si="25"/>
        <v>31</v>
      </c>
      <c r="Y432" s="4" t="str">
        <f t="shared" si="26"/>
        <v>431</v>
      </c>
      <c r="Z432" s="4" t="str">
        <f t="shared" si="27"/>
        <v>1754310811</v>
      </c>
    </row>
    <row r="433" spans="1:26" x14ac:dyDescent="0.3">
      <c r="A433" s="4">
        <v>1754310814</v>
      </c>
      <c r="B433" s="4">
        <v>432</v>
      </c>
      <c r="C433" s="4" t="s">
        <v>126</v>
      </c>
      <c r="D433" s="4" t="s">
        <v>774</v>
      </c>
      <c r="E433" s="2">
        <v>499</v>
      </c>
      <c r="F433" s="2">
        <v>144</v>
      </c>
      <c r="G433" s="9">
        <v>0.71</v>
      </c>
      <c r="H433" s="4">
        <v>2.6</v>
      </c>
      <c r="I433" s="4" t="s">
        <v>13</v>
      </c>
      <c r="J433" s="4" t="s">
        <v>723</v>
      </c>
      <c r="K433" s="4" t="s">
        <v>732</v>
      </c>
      <c r="L433" s="4" t="s">
        <v>44</v>
      </c>
      <c r="M433" s="11" t="s">
        <v>949</v>
      </c>
      <c r="Q433" s="4" t="s">
        <v>28</v>
      </c>
      <c r="R433" t="str">
        <f t="shared" si="24"/>
        <v>Herb</v>
      </c>
      <c r="U433" t="s">
        <v>742</v>
      </c>
      <c r="V433" s="4">
        <v>432</v>
      </c>
      <c r="W433" s="4" t="s">
        <v>705</v>
      </c>
      <c r="X433" s="4" t="str">
        <f t="shared" si="25"/>
        <v>32</v>
      </c>
      <c r="Y433" s="4" t="str">
        <f t="shared" si="26"/>
        <v>432</v>
      </c>
      <c r="Z433" s="4" t="str">
        <f t="shared" si="27"/>
        <v>1754310814</v>
      </c>
    </row>
    <row r="434" spans="1:26" x14ac:dyDescent="0.3">
      <c r="A434" s="4">
        <v>1754310816</v>
      </c>
      <c r="B434" s="4">
        <v>433</v>
      </c>
      <c r="C434" s="4" t="s">
        <v>423</v>
      </c>
      <c r="D434" s="4" t="s">
        <v>872</v>
      </c>
      <c r="E434" s="2">
        <v>999</v>
      </c>
      <c r="F434" s="2">
        <v>283</v>
      </c>
      <c r="G434" s="9">
        <v>0.71</v>
      </c>
      <c r="H434" s="4">
        <v>4</v>
      </c>
      <c r="I434" s="4" t="s">
        <v>18</v>
      </c>
      <c r="J434" s="4" t="s">
        <v>729</v>
      </c>
      <c r="K434" s="4" t="s">
        <v>737</v>
      </c>
      <c r="L434" s="4" t="s">
        <v>424</v>
      </c>
      <c r="M434" s="11" t="s">
        <v>949</v>
      </c>
      <c r="Q434" s="4" t="s">
        <v>177</v>
      </c>
      <c r="R434" t="str">
        <f t="shared" si="24"/>
        <v>Flower</v>
      </c>
      <c r="U434" t="s">
        <v>742</v>
      </c>
      <c r="V434" s="4">
        <v>433</v>
      </c>
      <c r="W434" s="4" t="s">
        <v>706</v>
      </c>
      <c r="X434" s="4" t="str">
        <f t="shared" si="25"/>
        <v>33</v>
      </c>
      <c r="Y434" s="4" t="str">
        <f t="shared" si="26"/>
        <v>433</v>
      </c>
      <c r="Z434" s="4" t="str">
        <f t="shared" si="27"/>
        <v>1754310816</v>
      </c>
    </row>
    <row r="435" spans="1:26" x14ac:dyDescent="0.3">
      <c r="A435" s="4">
        <v>1754310819</v>
      </c>
      <c r="B435" s="4">
        <v>434</v>
      </c>
      <c r="C435" s="4" t="s">
        <v>665</v>
      </c>
      <c r="D435" s="4" t="s">
        <v>926</v>
      </c>
      <c r="E435" s="2">
        <v>499</v>
      </c>
      <c r="F435" s="2">
        <v>139</v>
      </c>
      <c r="G435" s="9">
        <v>0.72</v>
      </c>
      <c r="H435" s="4">
        <v>3.8</v>
      </c>
      <c r="I435" s="4" t="s">
        <v>18</v>
      </c>
      <c r="J435" s="4" t="s">
        <v>729</v>
      </c>
      <c r="K435" s="4" t="s">
        <v>737</v>
      </c>
      <c r="L435" s="4" t="s">
        <v>15</v>
      </c>
      <c r="M435" s="11" t="s">
        <v>949</v>
      </c>
      <c r="Q435" s="4" t="s">
        <v>177</v>
      </c>
      <c r="R435" t="str">
        <f t="shared" si="24"/>
        <v>Flower</v>
      </c>
      <c r="U435" t="s">
        <v>742</v>
      </c>
      <c r="V435" s="4">
        <v>434</v>
      </c>
      <c r="W435" s="4" t="s">
        <v>707</v>
      </c>
      <c r="X435" s="4" t="str">
        <f t="shared" si="25"/>
        <v>34</v>
      </c>
      <c r="Y435" s="4" t="str">
        <f t="shared" si="26"/>
        <v>434</v>
      </c>
      <c r="Z435" s="4" t="str">
        <f t="shared" si="27"/>
        <v>1754310819</v>
      </c>
    </row>
    <row r="436" spans="1:26" x14ac:dyDescent="0.3">
      <c r="A436" s="4">
        <v>1754310824</v>
      </c>
      <c r="B436" s="4">
        <v>435</v>
      </c>
      <c r="C436" s="4" t="s">
        <v>21</v>
      </c>
      <c r="D436" s="4" t="s">
        <v>745</v>
      </c>
      <c r="E436" s="2">
        <v>445</v>
      </c>
      <c r="F436" s="2">
        <v>335</v>
      </c>
      <c r="G436" s="9">
        <v>0.24</v>
      </c>
      <c r="H436" s="4">
        <v>4.4000000000000004</v>
      </c>
      <c r="I436" s="4" t="s">
        <v>18</v>
      </c>
      <c r="J436" s="4" t="s">
        <v>722</v>
      </c>
      <c r="K436" s="4" t="s">
        <v>733</v>
      </c>
      <c r="L436" s="4" t="s">
        <v>23</v>
      </c>
      <c r="M436" s="11" t="s">
        <v>949</v>
      </c>
      <c r="Q436" s="4" t="s">
        <v>22</v>
      </c>
      <c r="R436" t="str">
        <f t="shared" si="24"/>
        <v>Shrub</v>
      </c>
      <c r="U436" t="s">
        <v>746</v>
      </c>
      <c r="V436" s="4">
        <v>435</v>
      </c>
      <c r="W436" s="4" t="s">
        <v>708</v>
      </c>
      <c r="X436" s="4" t="str">
        <f t="shared" si="25"/>
        <v>35</v>
      </c>
      <c r="Y436" s="4" t="str">
        <f t="shared" si="26"/>
        <v>435</v>
      </c>
      <c r="Z436" s="4" t="str">
        <f t="shared" si="27"/>
        <v>1754310824</v>
      </c>
    </row>
    <row r="437" spans="1:26" x14ac:dyDescent="0.3">
      <c r="A437" s="4">
        <v>1754310842</v>
      </c>
      <c r="B437" s="4">
        <v>436</v>
      </c>
      <c r="C437" s="4" t="s">
        <v>252</v>
      </c>
      <c r="D437" s="4" t="s">
        <v>811</v>
      </c>
      <c r="E437" s="2">
        <v>499</v>
      </c>
      <c r="F437" s="2">
        <v>135</v>
      </c>
      <c r="G437" s="9">
        <v>0.72</v>
      </c>
      <c r="H437" s="4">
        <v>3.4</v>
      </c>
      <c r="I437" s="4" t="s">
        <v>13</v>
      </c>
      <c r="J437" s="4" t="s">
        <v>728</v>
      </c>
      <c r="K437" s="4" t="s">
        <v>732</v>
      </c>
      <c r="L437" s="4" t="s">
        <v>274</v>
      </c>
      <c r="M437" s="11" t="s">
        <v>949</v>
      </c>
      <c r="Q437" s="4" t="s">
        <v>68</v>
      </c>
      <c r="R437" t="str">
        <f t="shared" si="24"/>
        <v>Fruit</v>
      </c>
      <c r="U437" t="s">
        <v>742</v>
      </c>
      <c r="V437" s="4">
        <v>436</v>
      </c>
      <c r="W437" s="4" t="s">
        <v>709</v>
      </c>
      <c r="X437" s="4" t="str">
        <f t="shared" si="25"/>
        <v>36</v>
      </c>
      <c r="Y437" s="4" t="str">
        <f t="shared" si="26"/>
        <v>436</v>
      </c>
      <c r="Z437" s="4" t="str">
        <f t="shared" si="27"/>
        <v>1754310842</v>
      </c>
    </row>
    <row r="438" spans="1:26" x14ac:dyDescent="0.3">
      <c r="A438" s="4">
        <v>1754310853</v>
      </c>
      <c r="B438" s="4">
        <v>437</v>
      </c>
      <c r="C438" s="4" t="s">
        <v>592</v>
      </c>
      <c r="D438" s="4" t="s">
        <v>910</v>
      </c>
      <c r="E438" s="2">
        <v>349</v>
      </c>
      <c r="F438" s="2">
        <v>142</v>
      </c>
      <c r="G438" s="9">
        <v>0.59</v>
      </c>
      <c r="H438" s="4">
        <v>3.5</v>
      </c>
      <c r="I438" s="4" t="s">
        <v>18</v>
      </c>
      <c r="J438" s="4" t="s">
        <v>728</v>
      </c>
      <c r="K438" s="4" t="s">
        <v>737</v>
      </c>
      <c r="L438" s="4" t="s">
        <v>79</v>
      </c>
      <c r="M438" s="11" t="s">
        <v>949</v>
      </c>
      <c r="Q438" s="4" t="s">
        <v>68</v>
      </c>
      <c r="R438" t="str">
        <f t="shared" si="24"/>
        <v>Fruit</v>
      </c>
      <c r="U438" t="s">
        <v>742</v>
      </c>
      <c r="V438" s="4">
        <v>437</v>
      </c>
      <c r="W438" s="4" t="s">
        <v>710</v>
      </c>
      <c r="X438" s="4" t="str">
        <f t="shared" si="25"/>
        <v>37</v>
      </c>
      <c r="Y438" s="4" t="str">
        <f t="shared" si="26"/>
        <v>437</v>
      </c>
      <c r="Z438" s="4" t="str">
        <f t="shared" si="27"/>
        <v>1754310853</v>
      </c>
    </row>
    <row r="439" spans="1:26" x14ac:dyDescent="0.3">
      <c r="A439" s="4">
        <v>1754310856</v>
      </c>
      <c r="B439" s="4">
        <v>438</v>
      </c>
      <c r="C439" s="4" t="s">
        <v>670</v>
      </c>
      <c r="D439" s="4" t="s">
        <v>927</v>
      </c>
      <c r="E439" s="2">
        <v>499</v>
      </c>
      <c r="F439" s="2">
        <v>167</v>
      </c>
      <c r="G439" s="9">
        <v>0.66</v>
      </c>
      <c r="H439" s="4">
        <v>3.5</v>
      </c>
      <c r="I439" s="4" t="s">
        <v>18</v>
      </c>
      <c r="J439" s="4" t="s">
        <v>726</v>
      </c>
      <c r="K439" s="4" t="s">
        <v>737</v>
      </c>
      <c r="L439" s="4" t="s">
        <v>671</v>
      </c>
      <c r="M439" s="11" t="s">
        <v>949</v>
      </c>
      <c r="Q439" s="4" t="s">
        <v>51</v>
      </c>
      <c r="R439" t="str">
        <f t="shared" si="24"/>
        <v>Foliage</v>
      </c>
      <c r="U439" t="s">
        <v>742</v>
      </c>
      <c r="V439" s="4">
        <v>438</v>
      </c>
      <c r="W439" s="4" t="s">
        <v>711</v>
      </c>
      <c r="X439" s="4" t="str">
        <f t="shared" si="25"/>
        <v>38</v>
      </c>
      <c r="Y439" s="4" t="str">
        <f t="shared" si="26"/>
        <v>438</v>
      </c>
      <c r="Z439" s="4" t="str">
        <f t="shared" si="27"/>
        <v>1754310856</v>
      </c>
    </row>
    <row r="440" spans="1:26" x14ac:dyDescent="0.3">
      <c r="A440" s="4">
        <v>1754310859</v>
      </c>
      <c r="B440" s="4">
        <v>439</v>
      </c>
      <c r="C440" s="4" t="s">
        <v>40</v>
      </c>
      <c r="D440" s="4" t="s">
        <v>752</v>
      </c>
      <c r="E440" s="2">
        <v>495</v>
      </c>
      <c r="F440" s="2">
        <v>331</v>
      </c>
      <c r="G440" s="9">
        <v>0.33</v>
      </c>
      <c r="H440" s="4">
        <v>4.0999999999999996</v>
      </c>
      <c r="I440" s="4" t="s">
        <v>18</v>
      </c>
      <c r="J440" s="4" t="s">
        <v>724</v>
      </c>
      <c r="K440" s="4" t="s">
        <v>733</v>
      </c>
      <c r="L440" s="4" t="s">
        <v>23</v>
      </c>
      <c r="M440" s="11" t="s">
        <v>949</v>
      </c>
      <c r="Q440" s="4" t="s">
        <v>41</v>
      </c>
      <c r="R440" t="str">
        <f t="shared" si="24"/>
        <v>Succulent</v>
      </c>
      <c r="U440" t="s">
        <v>742</v>
      </c>
      <c r="V440" s="4">
        <v>439</v>
      </c>
      <c r="W440" s="4" t="s">
        <v>712</v>
      </c>
      <c r="X440" s="4" t="str">
        <f t="shared" si="25"/>
        <v>39</v>
      </c>
      <c r="Y440" s="4" t="str">
        <f t="shared" si="26"/>
        <v>439</v>
      </c>
      <c r="Z440" s="4" t="str">
        <f t="shared" si="27"/>
        <v>1754310859</v>
      </c>
    </row>
    <row r="441" spans="1:26" x14ac:dyDescent="0.3">
      <c r="A441" s="4">
        <v>1754310861</v>
      </c>
      <c r="B441" s="4">
        <v>440</v>
      </c>
      <c r="C441" s="4" t="s">
        <v>40</v>
      </c>
      <c r="D441" s="4" t="s">
        <v>752</v>
      </c>
      <c r="E441" s="2">
        <v>349</v>
      </c>
      <c r="F441" s="2">
        <v>325</v>
      </c>
      <c r="G441" s="9">
        <v>0.06</v>
      </c>
      <c r="H441" s="4">
        <v>4</v>
      </c>
      <c r="I441" s="4" t="s">
        <v>18</v>
      </c>
      <c r="J441" s="4" t="s">
        <v>724</v>
      </c>
      <c r="K441" s="4" t="s">
        <v>733</v>
      </c>
      <c r="L441" s="4" t="s">
        <v>23</v>
      </c>
      <c r="M441" s="11" t="s">
        <v>949</v>
      </c>
      <c r="Q441" s="4" t="s">
        <v>41</v>
      </c>
      <c r="R441" t="str">
        <f t="shared" si="24"/>
        <v>Succulent</v>
      </c>
      <c r="U441" t="s">
        <v>746</v>
      </c>
      <c r="V441" s="4">
        <v>440</v>
      </c>
      <c r="W441" s="4" t="s">
        <v>713</v>
      </c>
      <c r="X441" s="4" t="str">
        <f t="shared" si="25"/>
        <v>40</v>
      </c>
      <c r="Y441" s="4" t="str">
        <f t="shared" si="26"/>
        <v>440</v>
      </c>
      <c r="Z441" s="4" t="str">
        <f t="shared" si="27"/>
        <v>1754310861</v>
      </c>
    </row>
    <row r="442" spans="1:26" x14ac:dyDescent="0.3">
      <c r="A442" s="4"/>
      <c r="B442" s="4"/>
      <c r="C442" s="4"/>
      <c r="D442" s="4"/>
      <c r="E442" s="2"/>
      <c r="F442" s="2"/>
      <c r="G442" s="4"/>
      <c r="H442" s="4"/>
      <c r="I442" s="4"/>
      <c r="J442" s="4"/>
      <c r="K442" s="4"/>
      <c r="L442" s="4"/>
      <c r="M442" s="11"/>
      <c r="Q442" s="4"/>
      <c r="V442" s="4"/>
      <c r="W442" s="4"/>
      <c r="X442" s="4"/>
      <c r="Y442" s="4"/>
      <c r="Z442" s="4"/>
    </row>
  </sheetData>
  <autoFilter ref="A1:Z441" xr:uid="{6490C963-A076-45D5-B642-02A6371B1108}"/>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FA28E-D06B-4957-B9F7-1693788F75C5}">
  <dimension ref="B1:L442"/>
  <sheetViews>
    <sheetView workbookViewId="0">
      <selection activeCell="P9" sqref="P9"/>
    </sheetView>
  </sheetViews>
  <sheetFormatPr defaultRowHeight="15.6" x14ac:dyDescent="0.3"/>
  <cols>
    <col min="2" max="2" width="11" style="3" bestFit="1" customWidth="1"/>
    <col min="4" max="4" width="13.19921875" customWidth="1"/>
    <col min="5" max="5" width="11.59765625" customWidth="1"/>
  </cols>
  <sheetData>
    <row r="1" spans="2:12" x14ac:dyDescent="0.3">
      <c r="B1" s="13" t="s">
        <v>3</v>
      </c>
      <c r="D1" s="19" t="s">
        <v>3</v>
      </c>
      <c r="E1" s="19"/>
      <c r="H1" s="21" t="s">
        <v>928</v>
      </c>
      <c r="I1" s="21"/>
      <c r="J1" s="21"/>
      <c r="K1" s="21"/>
      <c r="L1" s="21"/>
    </row>
    <row r="2" spans="2:12" x14ac:dyDescent="0.3">
      <c r="B2" s="2">
        <v>199</v>
      </c>
    </row>
    <row r="3" spans="2:12" x14ac:dyDescent="0.3">
      <c r="B3" s="2">
        <v>171</v>
      </c>
      <c r="D3" t="s">
        <v>933</v>
      </c>
      <c r="E3">
        <v>253.81818181818181</v>
      </c>
    </row>
    <row r="4" spans="2:12" x14ac:dyDescent="0.3">
      <c r="B4" s="2">
        <v>384</v>
      </c>
      <c r="D4" t="s">
        <v>934</v>
      </c>
      <c r="E4">
        <v>5.7963843309069336</v>
      </c>
    </row>
    <row r="5" spans="2:12" x14ac:dyDescent="0.3">
      <c r="B5" s="2">
        <v>349</v>
      </c>
      <c r="D5" t="s">
        <v>935</v>
      </c>
      <c r="E5">
        <v>201.5</v>
      </c>
    </row>
    <row r="6" spans="2:12" x14ac:dyDescent="0.3">
      <c r="B6" s="2">
        <v>150</v>
      </c>
      <c r="D6" t="s">
        <v>936</v>
      </c>
      <c r="E6">
        <v>335</v>
      </c>
    </row>
    <row r="7" spans="2:12" x14ac:dyDescent="0.3">
      <c r="B7" s="2">
        <v>169</v>
      </c>
      <c r="D7" t="s">
        <v>937</v>
      </c>
      <c r="E7">
        <v>121.58598347300031</v>
      </c>
    </row>
    <row r="8" spans="2:12" x14ac:dyDescent="0.3">
      <c r="B8" s="2">
        <v>250</v>
      </c>
      <c r="D8" t="s">
        <v>938</v>
      </c>
      <c r="E8">
        <v>14783.151377096705</v>
      </c>
    </row>
    <row r="9" spans="2:12" x14ac:dyDescent="0.3">
      <c r="B9" s="2">
        <v>153</v>
      </c>
      <c r="D9" t="s">
        <v>939</v>
      </c>
      <c r="E9">
        <v>4.9566655659237018</v>
      </c>
    </row>
    <row r="10" spans="2:12" x14ac:dyDescent="0.3">
      <c r="B10" s="2">
        <v>384</v>
      </c>
      <c r="D10" t="s">
        <v>940</v>
      </c>
      <c r="E10">
        <v>1.3799575978331422</v>
      </c>
    </row>
    <row r="11" spans="2:12" x14ac:dyDescent="0.3">
      <c r="B11" s="2">
        <v>335</v>
      </c>
      <c r="D11" t="s">
        <v>941</v>
      </c>
      <c r="E11">
        <v>895</v>
      </c>
    </row>
    <row r="12" spans="2:12" x14ac:dyDescent="0.3">
      <c r="B12" s="2">
        <v>135</v>
      </c>
      <c r="D12" t="s">
        <v>942</v>
      </c>
      <c r="E12">
        <v>116</v>
      </c>
    </row>
    <row r="13" spans="2:12" x14ac:dyDescent="0.3">
      <c r="B13" s="2">
        <v>160</v>
      </c>
      <c r="D13" t="s">
        <v>943</v>
      </c>
      <c r="E13">
        <v>1011</v>
      </c>
    </row>
    <row r="14" spans="2:12" x14ac:dyDescent="0.3">
      <c r="B14" s="2">
        <v>516</v>
      </c>
      <c r="D14" t="s">
        <v>944</v>
      </c>
      <c r="E14">
        <v>111680</v>
      </c>
    </row>
    <row r="15" spans="2:12" x14ac:dyDescent="0.3">
      <c r="B15" s="2">
        <v>388</v>
      </c>
      <c r="D15" t="s">
        <v>945</v>
      </c>
      <c r="E15">
        <v>440</v>
      </c>
    </row>
    <row r="16" spans="2:12" x14ac:dyDescent="0.3">
      <c r="B16" s="2">
        <v>145</v>
      </c>
      <c r="D16" t="s">
        <v>946</v>
      </c>
      <c r="E16">
        <v>1011</v>
      </c>
    </row>
    <row r="17" spans="2:5" ht="16.2" thickBot="1" x14ac:dyDescent="0.35">
      <c r="B17" s="2">
        <v>179</v>
      </c>
      <c r="D17" s="18" t="s">
        <v>947</v>
      </c>
      <c r="E17" s="18">
        <v>116</v>
      </c>
    </row>
    <row r="18" spans="2:5" x14ac:dyDescent="0.3">
      <c r="B18" s="2">
        <v>142</v>
      </c>
    </row>
    <row r="19" spans="2:5" x14ac:dyDescent="0.3">
      <c r="B19" s="2">
        <v>135</v>
      </c>
    </row>
    <row r="20" spans="2:5" x14ac:dyDescent="0.3">
      <c r="B20" s="2">
        <v>349</v>
      </c>
    </row>
    <row r="21" spans="2:5" x14ac:dyDescent="0.3">
      <c r="B21" s="2">
        <v>349</v>
      </c>
    </row>
    <row r="22" spans="2:5" x14ac:dyDescent="0.3">
      <c r="B22" s="2">
        <v>264</v>
      </c>
    </row>
    <row r="23" spans="2:5" x14ac:dyDescent="0.3">
      <c r="B23" s="2">
        <v>135</v>
      </c>
    </row>
    <row r="24" spans="2:5" x14ac:dyDescent="0.3">
      <c r="B24" s="2">
        <v>424</v>
      </c>
    </row>
    <row r="25" spans="2:5" x14ac:dyDescent="0.3">
      <c r="B25" s="2">
        <v>359</v>
      </c>
    </row>
    <row r="26" spans="2:5" x14ac:dyDescent="0.3">
      <c r="B26" s="2">
        <v>196</v>
      </c>
    </row>
    <row r="27" spans="2:5" x14ac:dyDescent="0.3">
      <c r="B27" s="2">
        <v>134</v>
      </c>
    </row>
    <row r="28" spans="2:5" x14ac:dyDescent="0.3">
      <c r="B28" s="2">
        <v>169</v>
      </c>
    </row>
    <row r="29" spans="2:5" x14ac:dyDescent="0.3">
      <c r="B29" s="2">
        <v>233</v>
      </c>
    </row>
    <row r="30" spans="2:5" x14ac:dyDescent="0.3">
      <c r="B30" s="2">
        <v>335</v>
      </c>
    </row>
    <row r="31" spans="2:5" x14ac:dyDescent="0.3">
      <c r="B31" s="2">
        <v>426</v>
      </c>
    </row>
    <row r="32" spans="2:5" x14ac:dyDescent="0.3">
      <c r="B32" s="2">
        <v>155</v>
      </c>
    </row>
    <row r="33" spans="2:2" x14ac:dyDescent="0.3">
      <c r="B33" s="2">
        <v>250</v>
      </c>
    </row>
    <row r="34" spans="2:2" x14ac:dyDescent="0.3">
      <c r="B34" s="2">
        <v>335</v>
      </c>
    </row>
    <row r="35" spans="2:2" x14ac:dyDescent="0.3">
      <c r="B35" s="2">
        <v>335</v>
      </c>
    </row>
    <row r="36" spans="2:2" x14ac:dyDescent="0.3">
      <c r="B36" s="2">
        <v>137</v>
      </c>
    </row>
    <row r="37" spans="2:2" x14ac:dyDescent="0.3">
      <c r="B37" s="2">
        <v>135</v>
      </c>
    </row>
    <row r="38" spans="2:2" x14ac:dyDescent="0.3">
      <c r="B38" s="2">
        <v>200</v>
      </c>
    </row>
    <row r="39" spans="2:2" x14ac:dyDescent="0.3">
      <c r="B39" s="2">
        <v>215</v>
      </c>
    </row>
    <row r="40" spans="2:2" x14ac:dyDescent="0.3">
      <c r="B40" s="2">
        <v>331</v>
      </c>
    </row>
    <row r="41" spans="2:2" x14ac:dyDescent="0.3">
      <c r="B41" s="2">
        <v>325</v>
      </c>
    </row>
    <row r="42" spans="2:2" x14ac:dyDescent="0.3">
      <c r="B42" s="2">
        <v>145</v>
      </c>
    </row>
    <row r="43" spans="2:2" x14ac:dyDescent="0.3">
      <c r="B43" s="2">
        <v>1011</v>
      </c>
    </row>
    <row r="44" spans="2:2" x14ac:dyDescent="0.3">
      <c r="B44" s="2">
        <v>384</v>
      </c>
    </row>
    <row r="45" spans="2:2" x14ac:dyDescent="0.3">
      <c r="B45" s="2">
        <v>349</v>
      </c>
    </row>
    <row r="46" spans="2:2" x14ac:dyDescent="0.3">
      <c r="B46" s="2">
        <v>198</v>
      </c>
    </row>
    <row r="47" spans="2:2" x14ac:dyDescent="0.3">
      <c r="B47" s="2">
        <v>149</v>
      </c>
    </row>
    <row r="48" spans="2:2" x14ac:dyDescent="0.3">
      <c r="B48" s="2">
        <v>454</v>
      </c>
    </row>
    <row r="49" spans="2:2" x14ac:dyDescent="0.3">
      <c r="B49" s="2">
        <v>188</v>
      </c>
    </row>
    <row r="50" spans="2:2" x14ac:dyDescent="0.3">
      <c r="B50" s="2">
        <v>384</v>
      </c>
    </row>
    <row r="51" spans="2:2" x14ac:dyDescent="0.3">
      <c r="B51" s="2">
        <v>335</v>
      </c>
    </row>
    <row r="52" spans="2:2" x14ac:dyDescent="0.3">
      <c r="B52" s="2">
        <v>149</v>
      </c>
    </row>
    <row r="53" spans="2:2" x14ac:dyDescent="0.3">
      <c r="B53" s="2">
        <v>132</v>
      </c>
    </row>
    <row r="54" spans="2:2" x14ac:dyDescent="0.3">
      <c r="B54" s="2">
        <v>516</v>
      </c>
    </row>
    <row r="55" spans="2:2" x14ac:dyDescent="0.3">
      <c r="B55" s="2">
        <v>388</v>
      </c>
    </row>
    <row r="56" spans="2:2" x14ac:dyDescent="0.3">
      <c r="B56" s="2">
        <v>216</v>
      </c>
    </row>
    <row r="57" spans="2:2" x14ac:dyDescent="0.3">
      <c r="B57" s="2">
        <v>144</v>
      </c>
    </row>
    <row r="58" spans="2:2" x14ac:dyDescent="0.3">
      <c r="B58" s="2">
        <v>145</v>
      </c>
    </row>
    <row r="59" spans="2:2" x14ac:dyDescent="0.3">
      <c r="B59" s="2">
        <v>165</v>
      </c>
    </row>
    <row r="60" spans="2:2" x14ac:dyDescent="0.3">
      <c r="B60" s="2">
        <v>349</v>
      </c>
    </row>
    <row r="61" spans="2:2" x14ac:dyDescent="0.3">
      <c r="B61" s="2">
        <v>349</v>
      </c>
    </row>
    <row r="62" spans="2:2" x14ac:dyDescent="0.3">
      <c r="B62" s="2">
        <v>189</v>
      </c>
    </row>
    <row r="63" spans="2:2" x14ac:dyDescent="0.3">
      <c r="B63" s="2">
        <v>149</v>
      </c>
    </row>
    <row r="64" spans="2:2" x14ac:dyDescent="0.3">
      <c r="B64" s="2">
        <v>424</v>
      </c>
    </row>
    <row r="65" spans="2:2" x14ac:dyDescent="0.3">
      <c r="B65" s="2">
        <v>359</v>
      </c>
    </row>
    <row r="66" spans="2:2" x14ac:dyDescent="0.3">
      <c r="B66" s="2">
        <v>149</v>
      </c>
    </row>
    <row r="67" spans="2:2" x14ac:dyDescent="0.3">
      <c r="B67" s="2">
        <v>188</v>
      </c>
    </row>
    <row r="68" spans="2:2" x14ac:dyDescent="0.3">
      <c r="B68" s="2">
        <v>135</v>
      </c>
    </row>
    <row r="69" spans="2:2" x14ac:dyDescent="0.3">
      <c r="B69" s="2">
        <v>149</v>
      </c>
    </row>
    <row r="70" spans="2:2" x14ac:dyDescent="0.3">
      <c r="B70" s="2">
        <v>335</v>
      </c>
    </row>
    <row r="71" spans="2:2" x14ac:dyDescent="0.3">
      <c r="B71" s="2">
        <v>426</v>
      </c>
    </row>
    <row r="72" spans="2:2" x14ac:dyDescent="0.3">
      <c r="B72" s="2">
        <v>200</v>
      </c>
    </row>
    <row r="73" spans="2:2" x14ac:dyDescent="0.3">
      <c r="B73" s="2">
        <v>277</v>
      </c>
    </row>
    <row r="74" spans="2:2" x14ac:dyDescent="0.3">
      <c r="B74" s="2">
        <v>335</v>
      </c>
    </row>
    <row r="75" spans="2:2" x14ac:dyDescent="0.3">
      <c r="B75" s="2">
        <v>335</v>
      </c>
    </row>
    <row r="76" spans="2:2" x14ac:dyDescent="0.3">
      <c r="B76" s="2">
        <v>169</v>
      </c>
    </row>
    <row r="77" spans="2:2" x14ac:dyDescent="0.3">
      <c r="B77" s="2">
        <v>207</v>
      </c>
    </row>
    <row r="78" spans="2:2" x14ac:dyDescent="0.3">
      <c r="B78" s="2">
        <v>149</v>
      </c>
    </row>
    <row r="79" spans="2:2" x14ac:dyDescent="0.3">
      <c r="B79" s="2">
        <v>224</v>
      </c>
    </row>
    <row r="80" spans="2:2" x14ac:dyDescent="0.3">
      <c r="B80" s="2">
        <v>331</v>
      </c>
    </row>
    <row r="81" spans="2:2" x14ac:dyDescent="0.3">
      <c r="B81" s="2">
        <v>325</v>
      </c>
    </row>
    <row r="82" spans="2:2" x14ac:dyDescent="0.3">
      <c r="B82" s="2">
        <v>135</v>
      </c>
    </row>
    <row r="83" spans="2:2" x14ac:dyDescent="0.3">
      <c r="B83" s="2">
        <v>146</v>
      </c>
    </row>
    <row r="84" spans="2:2" x14ac:dyDescent="0.3">
      <c r="B84" s="2">
        <v>384</v>
      </c>
    </row>
    <row r="85" spans="2:2" x14ac:dyDescent="0.3">
      <c r="B85" s="2">
        <v>349</v>
      </c>
    </row>
    <row r="86" spans="2:2" x14ac:dyDescent="0.3">
      <c r="B86" s="2">
        <v>140</v>
      </c>
    </row>
    <row r="87" spans="2:2" x14ac:dyDescent="0.3">
      <c r="B87" s="2">
        <v>149</v>
      </c>
    </row>
    <row r="88" spans="2:2" x14ac:dyDescent="0.3">
      <c r="B88" s="2">
        <v>149</v>
      </c>
    </row>
    <row r="89" spans="2:2" x14ac:dyDescent="0.3">
      <c r="B89" s="2">
        <v>182</v>
      </c>
    </row>
    <row r="90" spans="2:2" x14ac:dyDescent="0.3">
      <c r="B90" s="2">
        <v>384</v>
      </c>
    </row>
    <row r="91" spans="2:2" x14ac:dyDescent="0.3">
      <c r="B91" s="2">
        <v>335</v>
      </c>
    </row>
    <row r="92" spans="2:2" x14ac:dyDescent="0.3">
      <c r="B92" s="2">
        <v>135</v>
      </c>
    </row>
    <row r="93" spans="2:2" x14ac:dyDescent="0.3">
      <c r="B93" s="2">
        <v>167</v>
      </c>
    </row>
    <row r="94" spans="2:2" x14ac:dyDescent="0.3">
      <c r="B94" s="2">
        <v>516</v>
      </c>
    </row>
    <row r="95" spans="2:2" x14ac:dyDescent="0.3">
      <c r="B95" s="2">
        <v>388</v>
      </c>
    </row>
    <row r="96" spans="2:2" x14ac:dyDescent="0.3">
      <c r="B96" s="2">
        <v>528</v>
      </c>
    </row>
    <row r="97" spans="2:2" x14ac:dyDescent="0.3">
      <c r="B97" s="2">
        <v>181</v>
      </c>
    </row>
    <row r="98" spans="2:2" x14ac:dyDescent="0.3">
      <c r="B98" s="2">
        <v>147</v>
      </c>
    </row>
    <row r="99" spans="2:2" x14ac:dyDescent="0.3">
      <c r="B99" s="2">
        <v>137</v>
      </c>
    </row>
    <row r="100" spans="2:2" x14ac:dyDescent="0.3">
      <c r="B100" s="2">
        <v>349</v>
      </c>
    </row>
    <row r="101" spans="2:2" x14ac:dyDescent="0.3">
      <c r="B101" s="2">
        <v>349</v>
      </c>
    </row>
    <row r="102" spans="2:2" x14ac:dyDescent="0.3">
      <c r="B102" s="2">
        <v>145</v>
      </c>
    </row>
    <row r="103" spans="2:2" x14ac:dyDescent="0.3">
      <c r="B103" s="2">
        <v>492</v>
      </c>
    </row>
    <row r="104" spans="2:2" x14ac:dyDescent="0.3">
      <c r="B104" s="2">
        <v>424</v>
      </c>
    </row>
    <row r="105" spans="2:2" x14ac:dyDescent="0.3">
      <c r="B105" s="2">
        <v>359</v>
      </c>
    </row>
    <row r="106" spans="2:2" x14ac:dyDescent="0.3">
      <c r="B106" s="2">
        <v>191</v>
      </c>
    </row>
    <row r="107" spans="2:2" x14ac:dyDescent="0.3">
      <c r="B107" s="2">
        <v>205</v>
      </c>
    </row>
    <row r="108" spans="2:2" x14ac:dyDescent="0.3">
      <c r="B108" s="2">
        <v>180</v>
      </c>
    </row>
    <row r="109" spans="2:2" x14ac:dyDescent="0.3">
      <c r="B109" s="2">
        <v>142</v>
      </c>
    </row>
    <row r="110" spans="2:2" x14ac:dyDescent="0.3">
      <c r="B110" s="2">
        <v>335</v>
      </c>
    </row>
    <row r="111" spans="2:2" x14ac:dyDescent="0.3">
      <c r="B111" s="2">
        <v>426</v>
      </c>
    </row>
    <row r="112" spans="2:2" x14ac:dyDescent="0.3">
      <c r="B112" s="2">
        <v>172</v>
      </c>
    </row>
    <row r="113" spans="2:2" x14ac:dyDescent="0.3">
      <c r="B113" s="2">
        <v>130</v>
      </c>
    </row>
    <row r="114" spans="2:2" x14ac:dyDescent="0.3">
      <c r="B114" s="2">
        <v>335</v>
      </c>
    </row>
    <row r="115" spans="2:2" x14ac:dyDescent="0.3">
      <c r="B115" s="2">
        <v>335</v>
      </c>
    </row>
    <row r="116" spans="2:2" x14ac:dyDescent="0.3">
      <c r="B116" s="2">
        <v>253</v>
      </c>
    </row>
    <row r="117" spans="2:2" x14ac:dyDescent="0.3">
      <c r="B117" s="2">
        <v>179</v>
      </c>
    </row>
    <row r="118" spans="2:2" x14ac:dyDescent="0.3">
      <c r="B118" s="2">
        <v>121</v>
      </c>
    </row>
    <row r="119" spans="2:2" x14ac:dyDescent="0.3">
      <c r="B119" s="2">
        <v>169</v>
      </c>
    </row>
    <row r="120" spans="2:2" x14ac:dyDescent="0.3">
      <c r="B120" s="2">
        <v>331</v>
      </c>
    </row>
    <row r="121" spans="2:2" x14ac:dyDescent="0.3">
      <c r="B121" s="2">
        <v>325</v>
      </c>
    </row>
    <row r="122" spans="2:2" x14ac:dyDescent="0.3">
      <c r="B122" s="2">
        <v>139</v>
      </c>
    </row>
    <row r="123" spans="2:2" x14ac:dyDescent="0.3">
      <c r="B123" s="2">
        <v>140</v>
      </c>
    </row>
    <row r="124" spans="2:2" x14ac:dyDescent="0.3">
      <c r="B124" s="2">
        <v>384</v>
      </c>
    </row>
    <row r="125" spans="2:2" x14ac:dyDescent="0.3">
      <c r="B125" s="2">
        <v>349</v>
      </c>
    </row>
    <row r="126" spans="2:2" x14ac:dyDescent="0.3">
      <c r="B126" s="2">
        <v>135</v>
      </c>
    </row>
    <row r="127" spans="2:2" x14ac:dyDescent="0.3">
      <c r="B127" s="2">
        <v>158</v>
      </c>
    </row>
    <row r="128" spans="2:2" x14ac:dyDescent="0.3">
      <c r="B128" s="2">
        <v>210</v>
      </c>
    </row>
    <row r="129" spans="2:2" x14ac:dyDescent="0.3">
      <c r="B129" s="2">
        <v>205</v>
      </c>
    </row>
    <row r="130" spans="2:2" x14ac:dyDescent="0.3">
      <c r="B130" s="2">
        <v>384</v>
      </c>
    </row>
    <row r="131" spans="2:2" x14ac:dyDescent="0.3">
      <c r="B131" s="2">
        <v>335</v>
      </c>
    </row>
    <row r="132" spans="2:2" x14ac:dyDescent="0.3">
      <c r="B132" s="2">
        <v>177</v>
      </c>
    </row>
    <row r="133" spans="2:2" x14ac:dyDescent="0.3">
      <c r="B133" s="2">
        <v>177</v>
      </c>
    </row>
    <row r="134" spans="2:2" x14ac:dyDescent="0.3">
      <c r="B134" s="2">
        <v>516</v>
      </c>
    </row>
    <row r="135" spans="2:2" x14ac:dyDescent="0.3">
      <c r="B135" s="2">
        <v>388</v>
      </c>
    </row>
    <row r="136" spans="2:2" x14ac:dyDescent="0.3">
      <c r="B136" s="2">
        <v>145</v>
      </c>
    </row>
    <row r="137" spans="2:2" x14ac:dyDescent="0.3">
      <c r="B137" s="2">
        <v>140</v>
      </c>
    </row>
    <row r="138" spans="2:2" x14ac:dyDescent="0.3">
      <c r="B138" s="2">
        <v>140</v>
      </c>
    </row>
    <row r="139" spans="2:2" x14ac:dyDescent="0.3">
      <c r="B139" s="2">
        <v>137</v>
      </c>
    </row>
    <row r="140" spans="2:2" x14ac:dyDescent="0.3">
      <c r="B140" s="2">
        <v>349</v>
      </c>
    </row>
    <row r="141" spans="2:2" x14ac:dyDescent="0.3">
      <c r="B141" s="2">
        <v>349</v>
      </c>
    </row>
    <row r="142" spans="2:2" x14ac:dyDescent="0.3">
      <c r="B142" s="2">
        <v>142</v>
      </c>
    </row>
    <row r="143" spans="2:2" x14ac:dyDescent="0.3">
      <c r="B143" s="2">
        <v>150</v>
      </c>
    </row>
    <row r="144" spans="2:2" x14ac:dyDescent="0.3">
      <c r="B144" s="2">
        <v>424</v>
      </c>
    </row>
    <row r="145" spans="2:2" x14ac:dyDescent="0.3">
      <c r="B145" s="2">
        <v>359</v>
      </c>
    </row>
    <row r="146" spans="2:2" x14ac:dyDescent="0.3">
      <c r="B146" s="2">
        <v>231</v>
      </c>
    </row>
    <row r="147" spans="2:2" x14ac:dyDescent="0.3">
      <c r="B147" s="2">
        <v>128</v>
      </c>
    </row>
    <row r="148" spans="2:2" x14ac:dyDescent="0.3">
      <c r="B148" s="2">
        <v>123</v>
      </c>
    </row>
    <row r="149" spans="2:2" x14ac:dyDescent="0.3">
      <c r="B149" s="2">
        <v>161</v>
      </c>
    </row>
    <row r="150" spans="2:2" x14ac:dyDescent="0.3">
      <c r="B150" s="2">
        <v>335</v>
      </c>
    </row>
    <row r="151" spans="2:2" x14ac:dyDescent="0.3">
      <c r="B151" s="2">
        <v>426</v>
      </c>
    </row>
    <row r="152" spans="2:2" x14ac:dyDescent="0.3">
      <c r="B152" s="2">
        <v>142</v>
      </c>
    </row>
    <row r="153" spans="2:2" x14ac:dyDescent="0.3">
      <c r="B153" s="2">
        <v>121</v>
      </c>
    </row>
    <row r="154" spans="2:2" x14ac:dyDescent="0.3">
      <c r="B154" s="2">
        <v>335</v>
      </c>
    </row>
    <row r="155" spans="2:2" x14ac:dyDescent="0.3">
      <c r="B155" s="2">
        <v>335</v>
      </c>
    </row>
    <row r="156" spans="2:2" x14ac:dyDescent="0.3">
      <c r="B156" s="2">
        <v>134</v>
      </c>
    </row>
    <row r="157" spans="2:2" x14ac:dyDescent="0.3">
      <c r="B157" s="2">
        <v>188</v>
      </c>
    </row>
    <row r="158" spans="2:2" x14ac:dyDescent="0.3">
      <c r="B158" s="2">
        <v>150</v>
      </c>
    </row>
    <row r="159" spans="2:2" x14ac:dyDescent="0.3">
      <c r="B159" s="2">
        <v>134</v>
      </c>
    </row>
    <row r="160" spans="2:2" x14ac:dyDescent="0.3">
      <c r="B160" s="2">
        <v>331</v>
      </c>
    </row>
    <row r="161" spans="2:2" x14ac:dyDescent="0.3">
      <c r="B161" s="2">
        <v>325</v>
      </c>
    </row>
    <row r="162" spans="2:2" x14ac:dyDescent="0.3">
      <c r="B162" s="2">
        <v>149</v>
      </c>
    </row>
    <row r="163" spans="2:2" x14ac:dyDescent="0.3">
      <c r="B163" s="2">
        <v>147</v>
      </c>
    </row>
    <row r="164" spans="2:2" x14ac:dyDescent="0.3">
      <c r="B164" s="2">
        <v>384</v>
      </c>
    </row>
    <row r="165" spans="2:2" x14ac:dyDescent="0.3">
      <c r="B165" s="2">
        <v>349</v>
      </c>
    </row>
    <row r="166" spans="2:2" x14ac:dyDescent="0.3">
      <c r="B166" s="2">
        <v>145</v>
      </c>
    </row>
    <row r="167" spans="2:2" x14ac:dyDescent="0.3">
      <c r="B167" s="2">
        <v>198</v>
      </c>
    </row>
    <row r="168" spans="2:2" x14ac:dyDescent="0.3">
      <c r="B168" s="2">
        <v>140</v>
      </c>
    </row>
    <row r="169" spans="2:2" x14ac:dyDescent="0.3">
      <c r="B169" s="2">
        <v>165</v>
      </c>
    </row>
    <row r="170" spans="2:2" x14ac:dyDescent="0.3">
      <c r="B170" s="2">
        <v>384</v>
      </c>
    </row>
    <row r="171" spans="2:2" x14ac:dyDescent="0.3">
      <c r="B171" s="2">
        <v>335</v>
      </c>
    </row>
    <row r="172" spans="2:2" x14ac:dyDescent="0.3">
      <c r="B172" s="2">
        <v>132</v>
      </c>
    </row>
    <row r="173" spans="2:2" x14ac:dyDescent="0.3">
      <c r="B173" s="2">
        <v>193</v>
      </c>
    </row>
    <row r="174" spans="2:2" x14ac:dyDescent="0.3">
      <c r="B174" s="2">
        <v>516</v>
      </c>
    </row>
    <row r="175" spans="2:2" x14ac:dyDescent="0.3">
      <c r="B175" s="2">
        <v>388</v>
      </c>
    </row>
    <row r="176" spans="2:2" x14ac:dyDescent="0.3">
      <c r="B176" s="2">
        <v>150</v>
      </c>
    </row>
    <row r="177" spans="2:2" x14ac:dyDescent="0.3">
      <c r="B177" s="2">
        <v>139</v>
      </c>
    </row>
    <row r="178" spans="2:2" x14ac:dyDescent="0.3">
      <c r="B178" s="2">
        <v>230</v>
      </c>
    </row>
    <row r="179" spans="2:2" x14ac:dyDescent="0.3">
      <c r="B179" s="2">
        <v>140</v>
      </c>
    </row>
    <row r="180" spans="2:2" x14ac:dyDescent="0.3">
      <c r="B180" s="2">
        <v>349</v>
      </c>
    </row>
    <row r="181" spans="2:2" x14ac:dyDescent="0.3">
      <c r="B181" s="2">
        <v>349</v>
      </c>
    </row>
    <row r="182" spans="2:2" x14ac:dyDescent="0.3">
      <c r="B182" s="2">
        <v>155</v>
      </c>
    </row>
    <row r="183" spans="2:2" x14ac:dyDescent="0.3">
      <c r="B183" s="2">
        <v>170</v>
      </c>
    </row>
    <row r="184" spans="2:2" x14ac:dyDescent="0.3">
      <c r="B184" s="2">
        <v>424</v>
      </c>
    </row>
    <row r="185" spans="2:2" x14ac:dyDescent="0.3">
      <c r="B185" s="2">
        <v>359</v>
      </c>
    </row>
    <row r="186" spans="2:2" x14ac:dyDescent="0.3">
      <c r="B186" s="2">
        <v>392</v>
      </c>
    </row>
    <row r="187" spans="2:2" x14ac:dyDescent="0.3">
      <c r="B187" s="2">
        <v>140</v>
      </c>
    </row>
    <row r="188" spans="2:2" x14ac:dyDescent="0.3">
      <c r="B188" s="2">
        <v>140</v>
      </c>
    </row>
    <row r="189" spans="2:2" x14ac:dyDescent="0.3">
      <c r="B189" s="2">
        <v>162</v>
      </c>
    </row>
    <row r="190" spans="2:2" x14ac:dyDescent="0.3">
      <c r="B190" s="2">
        <v>335</v>
      </c>
    </row>
    <row r="191" spans="2:2" x14ac:dyDescent="0.3">
      <c r="B191" s="2">
        <v>426</v>
      </c>
    </row>
    <row r="192" spans="2:2" x14ac:dyDescent="0.3">
      <c r="B192" s="2">
        <v>169</v>
      </c>
    </row>
    <row r="193" spans="2:2" x14ac:dyDescent="0.3">
      <c r="B193" s="2">
        <v>279</v>
      </c>
    </row>
    <row r="194" spans="2:2" x14ac:dyDescent="0.3">
      <c r="B194" s="2">
        <v>335</v>
      </c>
    </row>
    <row r="195" spans="2:2" x14ac:dyDescent="0.3">
      <c r="B195" s="2">
        <v>335</v>
      </c>
    </row>
    <row r="196" spans="2:2" x14ac:dyDescent="0.3">
      <c r="B196" s="2">
        <v>144</v>
      </c>
    </row>
    <row r="197" spans="2:2" x14ac:dyDescent="0.3">
      <c r="B197" s="2">
        <v>176</v>
      </c>
    </row>
    <row r="198" spans="2:2" x14ac:dyDescent="0.3">
      <c r="B198" s="2">
        <v>994</v>
      </c>
    </row>
    <row r="199" spans="2:2" x14ac:dyDescent="0.3">
      <c r="B199" s="2">
        <v>182</v>
      </c>
    </row>
    <row r="200" spans="2:2" x14ac:dyDescent="0.3">
      <c r="B200" s="2">
        <v>331</v>
      </c>
    </row>
    <row r="201" spans="2:2" x14ac:dyDescent="0.3">
      <c r="B201" s="2">
        <v>325</v>
      </c>
    </row>
    <row r="202" spans="2:2" x14ac:dyDescent="0.3">
      <c r="B202" s="2">
        <v>132</v>
      </c>
    </row>
    <row r="203" spans="2:2" x14ac:dyDescent="0.3">
      <c r="B203" s="2">
        <v>179</v>
      </c>
    </row>
    <row r="204" spans="2:2" x14ac:dyDescent="0.3">
      <c r="B204" s="2">
        <v>384</v>
      </c>
    </row>
    <row r="205" spans="2:2" x14ac:dyDescent="0.3">
      <c r="B205" s="2">
        <v>349</v>
      </c>
    </row>
    <row r="206" spans="2:2" x14ac:dyDescent="0.3">
      <c r="B206" s="2">
        <v>270</v>
      </c>
    </row>
    <row r="207" spans="2:2" x14ac:dyDescent="0.3">
      <c r="B207" s="2">
        <v>157</v>
      </c>
    </row>
    <row r="208" spans="2:2" x14ac:dyDescent="0.3">
      <c r="B208" s="2">
        <v>193</v>
      </c>
    </row>
    <row r="209" spans="2:2" x14ac:dyDescent="0.3">
      <c r="B209" s="2">
        <v>199</v>
      </c>
    </row>
    <row r="210" spans="2:2" x14ac:dyDescent="0.3">
      <c r="B210" s="2">
        <v>384</v>
      </c>
    </row>
    <row r="211" spans="2:2" x14ac:dyDescent="0.3">
      <c r="B211" s="2">
        <v>335</v>
      </c>
    </row>
    <row r="212" spans="2:2" x14ac:dyDescent="0.3">
      <c r="B212" s="2">
        <v>220</v>
      </c>
    </row>
    <row r="213" spans="2:2" x14ac:dyDescent="0.3">
      <c r="B213" s="2">
        <v>140</v>
      </c>
    </row>
    <row r="214" spans="2:2" x14ac:dyDescent="0.3">
      <c r="B214" s="2">
        <v>516</v>
      </c>
    </row>
    <row r="215" spans="2:2" x14ac:dyDescent="0.3">
      <c r="B215" s="2">
        <v>388</v>
      </c>
    </row>
    <row r="216" spans="2:2" x14ac:dyDescent="0.3">
      <c r="B216" s="2">
        <v>140</v>
      </c>
    </row>
    <row r="217" spans="2:2" x14ac:dyDescent="0.3">
      <c r="B217" s="2">
        <v>137</v>
      </c>
    </row>
    <row r="218" spans="2:2" x14ac:dyDescent="0.3">
      <c r="B218" s="2">
        <v>198</v>
      </c>
    </row>
    <row r="219" spans="2:2" x14ac:dyDescent="0.3">
      <c r="B219" s="2">
        <v>222</v>
      </c>
    </row>
    <row r="220" spans="2:2" x14ac:dyDescent="0.3">
      <c r="B220" s="2">
        <v>349</v>
      </c>
    </row>
    <row r="221" spans="2:2" x14ac:dyDescent="0.3">
      <c r="B221" s="2">
        <v>349</v>
      </c>
    </row>
    <row r="222" spans="2:2" x14ac:dyDescent="0.3">
      <c r="B222" s="2">
        <v>283</v>
      </c>
    </row>
    <row r="223" spans="2:2" x14ac:dyDescent="0.3">
      <c r="B223" s="2">
        <v>179</v>
      </c>
    </row>
    <row r="224" spans="2:2" x14ac:dyDescent="0.3">
      <c r="B224" s="2">
        <v>424</v>
      </c>
    </row>
    <row r="225" spans="2:2" x14ac:dyDescent="0.3">
      <c r="B225" s="2">
        <v>359</v>
      </c>
    </row>
    <row r="226" spans="2:2" x14ac:dyDescent="0.3">
      <c r="B226" s="2">
        <v>135</v>
      </c>
    </row>
    <row r="227" spans="2:2" x14ac:dyDescent="0.3">
      <c r="B227" s="2">
        <v>212</v>
      </c>
    </row>
    <row r="228" spans="2:2" x14ac:dyDescent="0.3">
      <c r="B228" s="2">
        <v>147</v>
      </c>
    </row>
    <row r="229" spans="2:2" x14ac:dyDescent="0.3">
      <c r="B229" s="2">
        <v>120</v>
      </c>
    </row>
    <row r="230" spans="2:2" x14ac:dyDescent="0.3">
      <c r="B230" s="2">
        <v>335</v>
      </c>
    </row>
    <row r="231" spans="2:2" x14ac:dyDescent="0.3">
      <c r="B231" s="2">
        <v>426</v>
      </c>
    </row>
    <row r="232" spans="2:2" x14ac:dyDescent="0.3">
      <c r="B232" s="2">
        <v>142</v>
      </c>
    </row>
    <row r="233" spans="2:2" x14ac:dyDescent="0.3">
      <c r="B233" s="2">
        <v>195</v>
      </c>
    </row>
    <row r="234" spans="2:2" x14ac:dyDescent="0.3">
      <c r="B234" s="2">
        <v>335</v>
      </c>
    </row>
    <row r="235" spans="2:2" x14ac:dyDescent="0.3">
      <c r="B235" s="2">
        <v>335</v>
      </c>
    </row>
    <row r="236" spans="2:2" x14ac:dyDescent="0.3">
      <c r="B236" s="2">
        <v>172</v>
      </c>
    </row>
    <row r="237" spans="2:2" x14ac:dyDescent="0.3">
      <c r="B237" s="2">
        <v>135</v>
      </c>
    </row>
    <row r="238" spans="2:2" x14ac:dyDescent="0.3">
      <c r="B238" s="2">
        <v>283</v>
      </c>
    </row>
    <row r="239" spans="2:2" x14ac:dyDescent="0.3">
      <c r="B239" s="2">
        <v>161</v>
      </c>
    </row>
    <row r="240" spans="2:2" x14ac:dyDescent="0.3">
      <c r="B240" s="2">
        <v>331</v>
      </c>
    </row>
    <row r="241" spans="2:2" x14ac:dyDescent="0.3">
      <c r="B241" s="2">
        <v>325</v>
      </c>
    </row>
    <row r="242" spans="2:2" x14ac:dyDescent="0.3">
      <c r="B242" s="2">
        <v>212</v>
      </c>
    </row>
    <row r="243" spans="2:2" x14ac:dyDescent="0.3">
      <c r="B243" s="2">
        <v>169</v>
      </c>
    </row>
    <row r="244" spans="2:2" x14ac:dyDescent="0.3">
      <c r="B244" s="2">
        <v>134</v>
      </c>
    </row>
    <row r="245" spans="2:2" x14ac:dyDescent="0.3">
      <c r="B245" s="2">
        <v>349</v>
      </c>
    </row>
    <row r="246" spans="2:2" x14ac:dyDescent="0.3">
      <c r="B246" s="2">
        <v>147</v>
      </c>
    </row>
    <row r="247" spans="2:2" x14ac:dyDescent="0.3">
      <c r="B247" s="2">
        <v>157</v>
      </c>
    </row>
    <row r="248" spans="2:2" x14ac:dyDescent="0.3">
      <c r="B248" s="2">
        <v>149</v>
      </c>
    </row>
    <row r="249" spans="2:2" x14ac:dyDescent="0.3">
      <c r="B249" s="2">
        <v>290</v>
      </c>
    </row>
    <row r="250" spans="2:2" x14ac:dyDescent="0.3">
      <c r="B250" s="2">
        <v>384</v>
      </c>
    </row>
    <row r="251" spans="2:2" x14ac:dyDescent="0.3">
      <c r="B251" s="2">
        <v>335</v>
      </c>
    </row>
    <row r="252" spans="2:2" x14ac:dyDescent="0.3">
      <c r="B252" s="2">
        <v>217</v>
      </c>
    </row>
    <row r="253" spans="2:2" x14ac:dyDescent="0.3">
      <c r="B253" s="2">
        <v>165</v>
      </c>
    </row>
    <row r="254" spans="2:2" x14ac:dyDescent="0.3">
      <c r="B254" s="2">
        <v>516</v>
      </c>
    </row>
    <row r="255" spans="2:2" x14ac:dyDescent="0.3">
      <c r="B255" s="2">
        <v>388</v>
      </c>
    </row>
    <row r="256" spans="2:2" x14ac:dyDescent="0.3">
      <c r="B256" s="2">
        <v>135</v>
      </c>
    </row>
    <row r="257" spans="2:2" x14ac:dyDescent="0.3">
      <c r="B257" s="2">
        <v>179</v>
      </c>
    </row>
    <row r="258" spans="2:2" x14ac:dyDescent="0.3">
      <c r="B258" s="2">
        <v>142</v>
      </c>
    </row>
    <row r="259" spans="2:2" x14ac:dyDescent="0.3">
      <c r="B259" s="2">
        <v>137</v>
      </c>
    </row>
    <row r="260" spans="2:2" x14ac:dyDescent="0.3">
      <c r="B260" s="2">
        <v>349</v>
      </c>
    </row>
    <row r="261" spans="2:2" x14ac:dyDescent="0.3">
      <c r="B261" s="2">
        <v>349</v>
      </c>
    </row>
    <row r="262" spans="2:2" x14ac:dyDescent="0.3">
      <c r="B262" s="2">
        <v>135</v>
      </c>
    </row>
    <row r="263" spans="2:2" x14ac:dyDescent="0.3">
      <c r="B263" s="2">
        <v>140</v>
      </c>
    </row>
    <row r="264" spans="2:2" x14ac:dyDescent="0.3">
      <c r="B264" s="2">
        <v>424</v>
      </c>
    </row>
    <row r="265" spans="2:2" x14ac:dyDescent="0.3">
      <c r="B265" s="2">
        <v>359</v>
      </c>
    </row>
    <row r="266" spans="2:2" x14ac:dyDescent="0.3">
      <c r="B266" s="2">
        <v>310</v>
      </c>
    </row>
    <row r="267" spans="2:2" x14ac:dyDescent="0.3">
      <c r="B267" s="2">
        <v>149</v>
      </c>
    </row>
    <row r="268" spans="2:2" x14ac:dyDescent="0.3">
      <c r="B268" s="2">
        <v>169</v>
      </c>
    </row>
    <row r="269" spans="2:2" x14ac:dyDescent="0.3">
      <c r="B269" s="2">
        <v>345</v>
      </c>
    </row>
    <row r="270" spans="2:2" x14ac:dyDescent="0.3">
      <c r="B270" s="2">
        <v>335</v>
      </c>
    </row>
    <row r="271" spans="2:2" x14ac:dyDescent="0.3">
      <c r="B271" s="2">
        <v>426</v>
      </c>
    </row>
    <row r="272" spans="2:2" x14ac:dyDescent="0.3">
      <c r="B272" s="2">
        <v>203</v>
      </c>
    </row>
    <row r="273" spans="2:2" x14ac:dyDescent="0.3">
      <c r="B273" s="2">
        <v>140</v>
      </c>
    </row>
    <row r="274" spans="2:2" x14ac:dyDescent="0.3">
      <c r="B274" s="2">
        <v>335</v>
      </c>
    </row>
    <row r="275" spans="2:2" x14ac:dyDescent="0.3">
      <c r="B275" s="2">
        <v>335</v>
      </c>
    </row>
    <row r="276" spans="2:2" x14ac:dyDescent="0.3">
      <c r="B276" s="2">
        <v>151</v>
      </c>
    </row>
    <row r="277" spans="2:2" x14ac:dyDescent="0.3">
      <c r="B277" s="2">
        <v>150</v>
      </c>
    </row>
    <row r="278" spans="2:2" x14ac:dyDescent="0.3">
      <c r="B278" s="2">
        <v>158</v>
      </c>
    </row>
    <row r="279" spans="2:2" x14ac:dyDescent="0.3">
      <c r="B279" s="2">
        <v>145</v>
      </c>
    </row>
    <row r="280" spans="2:2" x14ac:dyDescent="0.3">
      <c r="B280" s="2">
        <v>331</v>
      </c>
    </row>
    <row r="281" spans="2:2" x14ac:dyDescent="0.3">
      <c r="B281" s="2">
        <v>325</v>
      </c>
    </row>
    <row r="282" spans="2:2" x14ac:dyDescent="0.3">
      <c r="B282" s="2">
        <v>159</v>
      </c>
    </row>
    <row r="283" spans="2:2" x14ac:dyDescent="0.3">
      <c r="B283" s="2">
        <v>380</v>
      </c>
    </row>
    <row r="284" spans="2:2" x14ac:dyDescent="0.3">
      <c r="B284" s="2">
        <v>167</v>
      </c>
    </row>
    <row r="285" spans="2:2" x14ac:dyDescent="0.3">
      <c r="B285" s="2">
        <v>349</v>
      </c>
    </row>
    <row r="286" spans="2:2" x14ac:dyDescent="0.3">
      <c r="B286" s="2">
        <v>130</v>
      </c>
    </row>
    <row r="287" spans="2:2" x14ac:dyDescent="0.3">
      <c r="B287" s="2">
        <v>426</v>
      </c>
    </row>
    <row r="288" spans="2:2" x14ac:dyDescent="0.3">
      <c r="B288" s="2">
        <v>147</v>
      </c>
    </row>
    <row r="289" spans="2:2" x14ac:dyDescent="0.3">
      <c r="B289" s="2">
        <v>150</v>
      </c>
    </row>
    <row r="290" spans="2:2" x14ac:dyDescent="0.3">
      <c r="B290" s="2">
        <v>384</v>
      </c>
    </row>
    <row r="291" spans="2:2" x14ac:dyDescent="0.3">
      <c r="B291" s="2">
        <v>335</v>
      </c>
    </row>
    <row r="292" spans="2:2" x14ac:dyDescent="0.3">
      <c r="B292" s="2">
        <v>165</v>
      </c>
    </row>
    <row r="293" spans="2:2" x14ac:dyDescent="0.3">
      <c r="B293" s="2">
        <v>150</v>
      </c>
    </row>
    <row r="294" spans="2:2" x14ac:dyDescent="0.3">
      <c r="B294" s="2">
        <v>516</v>
      </c>
    </row>
    <row r="295" spans="2:2" x14ac:dyDescent="0.3">
      <c r="B295" s="2">
        <v>388</v>
      </c>
    </row>
    <row r="296" spans="2:2" x14ac:dyDescent="0.3">
      <c r="B296" s="2">
        <v>169</v>
      </c>
    </row>
    <row r="297" spans="2:2" x14ac:dyDescent="0.3">
      <c r="B297" s="2">
        <v>160</v>
      </c>
    </row>
    <row r="298" spans="2:2" x14ac:dyDescent="0.3">
      <c r="B298" s="2">
        <v>145</v>
      </c>
    </row>
    <row r="299" spans="2:2" x14ac:dyDescent="0.3">
      <c r="B299" s="2">
        <v>167</v>
      </c>
    </row>
    <row r="300" spans="2:2" x14ac:dyDescent="0.3">
      <c r="B300" s="2">
        <v>349</v>
      </c>
    </row>
    <row r="301" spans="2:2" x14ac:dyDescent="0.3">
      <c r="B301" s="2">
        <v>349</v>
      </c>
    </row>
    <row r="302" spans="2:2" x14ac:dyDescent="0.3">
      <c r="B302" s="2">
        <v>145</v>
      </c>
    </row>
    <row r="303" spans="2:2" x14ac:dyDescent="0.3">
      <c r="B303" s="2">
        <v>145</v>
      </c>
    </row>
    <row r="304" spans="2:2" x14ac:dyDescent="0.3">
      <c r="B304" s="2">
        <v>424</v>
      </c>
    </row>
    <row r="305" spans="2:2" x14ac:dyDescent="0.3">
      <c r="B305" s="2">
        <v>359</v>
      </c>
    </row>
    <row r="306" spans="2:2" x14ac:dyDescent="0.3">
      <c r="B306" s="2">
        <v>144</v>
      </c>
    </row>
    <row r="307" spans="2:2" x14ac:dyDescent="0.3">
      <c r="B307" s="2">
        <v>135</v>
      </c>
    </row>
    <row r="308" spans="2:2" x14ac:dyDescent="0.3">
      <c r="B308" s="2">
        <v>135</v>
      </c>
    </row>
    <row r="309" spans="2:2" x14ac:dyDescent="0.3">
      <c r="B309" s="2">
        <v>135</v>
      </c>
    </row>
    <row r="310" spans="2:2" x14ac:dyDescent="0.3">
      <c r="B310" s="2">
        <v>335</v>
      </c>
    </row>
    <row r="311" spans="2:2" x14ac:dyDescent="0.3">
      <c r="B311" s="2">
        <v>426</v>
      </c>
    </row>
    <row r="312" spans="2:2" x14ac:dyDescent="0.3">
      <c r="B312" s="2">
        <v>142</v>
      </c>
    </row>
    <row r="313" spans="2:2" x14ac:dyDescent="0.3">
      <c r="B313" s="2">
        <v>132</v>
      </c>
    </row>
    <row r="314" spans="2:2" x14ac:dyDescent="0.3">
      <c r="B314" s="2">
        <v>335</v>
      </c>
    </row>
    <row r="315" spans="2:2" x14ac:dyDescent="0.3">
      <c r="B315" s="2">
        <v>335</v>
      </c>
    </row>
    <row r="316" spans="2:2" x14ac:dyDescent="0.3">
      <c r="B316" s="2">
        <v>132</v>
      </c>
    </row>
    <row r="317" spans="2:2" x14ac:dyDescent="0.3">
      <c r="B317" s="2">
        <v>132</v>
      </c>
    </row>
    <row r="318" spans="2:2" x14ac:dyDescent="0.3">
      <c r="B318" s="2">
        <v>142</v>
      </c>
    </row>
    <row r="319" spans="2:2" x14ac:dyDescent="0.3">
      <c r="B319" s="2">
        <v>142</v>
      </c>
    </row>
    <row r="320" spans="2:2" x14ac:dyDescent="0.3">
      <c r="B320" s="2">
        <v>331</v>
      </c>
    </row>
    <row r="321" spans="2:2" x14ac:dyDescent="0.3">
      <c r="B321" s="2">
        <v>325</v>
      </c>
    </row>
    <row r="322" spans="2:2" x14ac:dyDescent="0.3">
      <c r="B322" s="2">
        <v>145</v>
      </c>
    </row>
    <row r="323" spans="2:2" x14ac:dyDescent="0.3">
      <c r="B323" s="2">
        <v>147</v>
      </c>
    </row>
    <row r="324" spans="2:2" x14ac:dyDescent="0.3">
      <c r="B324" s="2">
        <v>116</v>
      </c>
    </row>
    <row r="325" spans="2:2" x14ac:dyDescent="0.3">
      <c r="B325" s="2">
        <v>349</v>
      </c>
    </row>
    <row r="326" spans="2:2" x14ac:dyDescent="0.3">
      <c r="B326" s="2">
        <v>157</v>
      </c>
    </row>
    <row r="327" spans="2:2" x14ac:dyDescent="0.3">
      <c r="B327" s="2">
        <v>137</v>
      </c>
    </row>
    <row r="328" spans="2:2" x14ac:dyDescent="0.3">
      <c r="B328" s="2">
        <v>140</v>
      </c>
    </row>
    <row r="329" spans="2:2" x14ac:dyDescent="0.3">
      <c r="B329" s="2">
        <v>137</v>
      </c>
    </row>
    <row r="330" spans="2:2" x14ac:dyDescent="0.3">
      <c r="B330" s="2">
        <v>384</v>
      </c>
    </row>
    <row r="331" spans="2:2" x14ac:dyDescent="0.3">
      <c r="B331" s="2">
        <v>335</v>
      </c>
    </row>
    <row r="332" spans="2:2" x14ac:dyDescent="0.3">
      <c r="B332" s="2">
        <v>145</v>
      </c>
    </row>
    <row r="333" spans="2:2" x14ac:dyDescent="0.3">
      <c r="B333" s="2">
        <v>145</v>
      </c>
    </row>
    <row r="334" spans="2:2" x14ac:dyDescent="0.3">
      <c r="B334" s="2">
        <v>516</v>
      </c>
    </row>
    <row r="335" spans="2:2" x14ac:dyDescent="0.3">
      <c r="B335" s="2">
        <v>388</v>
      </c>
    </row>
    <row r="336" spans="2:2" x14ac:dyDescent="0.3">
      <c r="B336" s="2">
        <v>142</v>
      </c>
    </row>
    <row r="337" spans="2:2" x14ac:dyDescent="0.3">
      <c r="B337" s="2">
        <v>182</v>
      </c>
    </row>
    <row r="338" spans="2:2" x14ac:dyDescent="0.3">
      <c r="B338" s="2">
        <v>145</v>
      </c>
    </row>
    <row r="339" spans="2:2" x14ac:dyDescent="0.3">
      <c r="B339" s="2">
        <v>155</v>
      </c>
    </row>
    <row r="340" spans="2:2" x14ac:dyDescent="0.3">
      <c r="B340" s="2">
        <v>349</v>
      </c>
    </row>
    <row r="341" spans="2:2" x14ac:dyDescent="0.3">
      <c r="B341" s="2">
        <v>349</v>
      </c>
    </row>
    <row r="342" spans="2:2" x14ac:dyDescent="0.3">
      <c r="B342" s="2">
        <v>150</v>
      </c>
    </row>
    <row r="343" spans="2:2" x14ac:dyDescent="0.3">
      <c r="B343" s="2">
        <v>144</v>
      </c>
    </row>
    <row r="344" spans="2:2" x14ac:dyDescent="0.3">
      <c r="B344" s="2">
        <v>424</v>
      </c>
    </row>
    <row r="345" spans="2:2" x14ac:dyDescent="0.3">
      <c r="B345" s="2">
        <v>359</v>
      </c>
    </row>
    <row r="346" spans="2:2" x14ac:dyDescent="0.3">
      <c r="B346" s="2">
        <v>144</v>
      </c>
    </row>
    <row r="347" spans="2:2" x14ac:dyDescent="0.3">
      <c r="B347" s="2">
        <v>137</v>
      </c>
    </row>
    <row r="348" spans="2:2" x14ac:dyDescent="0.3">
      <c r="B348" s="2">
        <v>250</v>
      </c>
    </row>
    <row r="349" spans="2:2" x14ac:dyDescent="0.3">
      <c r="B349" s="2">
        <v>145</v>
      </c>
    </row>
    <row r="350" spans="2:2" x14ac:dyDescent="0.3">
      <c r="B350" s="2">
        <v>335</v>
      </c>
    </row>
    <row r="351" spans="2:2" x14ac:dyDescent="0.3">
      <c r="B351" s="2">
        <v>426</v>
      </c>
    </row>
    <row r="352" spans="2:2" x14ac:dyDescent="0.3">
      <c r="B352" s="2">
        <v>160</v>
      </c>
    </row>
    <row r="353" spans="2:2" x14ac:dyDescent="0.3">
      <c r="B353" s="2">
        <v>169</v>
      </c>
    </row>
    <row r="354" spans="2:2" x14ac:dyDescent="0.3">
      <c r="B354" s="2">
        <v>335</v>
      </c>
    </row>
    <row r="355" spans="2:2" x14ac:dyDescent="0.3">
      <c r="B355" s="2">
        <v>335</v>
      </c>
    </row>
    <row r="356" spans="2:2" x14ac:dyDescent="0.3">
      <c r="B356" s="2">
        <v>297</v>
      </c>
    </row>
    <row r="357" spans="2:2" x14ac:dyDescent="0.3">
      <c r="B357" s="2">
        <v>145</v>
      </c>
    </row>
    <row r="358" spans="2:2" x14ac:dyDescent="0.3">
      <c r="B358" s="2">
        <v>198</v>
      </c>
    </row>
    <row r="359" spans="2:2" x14ac:dyDescent="0.3">
      <c r="B359" s="2">
        <v>145</v>
      </c>
    </row>
    <row r="360" spans="2:2" x14ac:dyDescent="0.3">
      <c r="B360" s="2">
        <v>331</v>
      </c>
    </row>
    <row r="361" spans="2:2" x14ac:dyDescent="0.3">
      <c r="B361" s="2">
        <v>325</v>
      </c>
    </row>
    <row r="362" spans="2:2" x14ac:dyDescent="0.3">
      <c r="B362" s="2">
        <v>145</v>
      </c>
    </row>
    <row r="363" spans="2:2" x14ac:dyDescent="0.3">
      <c r="B363" s="2">
        <v>140</v>
      </c>
    </row>
    <row r="364" spans="2:2" x14ac:dyDescent="0.3">
      <c r="B364" s="2">
        <v>349</v>
      </c>
    </row>
    <row r="365" spans="2:2" x14ac:dyDescent="0.3">
      <c r="B365" s="2">
        <v>384</v>
      </c>
    </row>
    <row r="366" spans="2:2" x14ac:dyDescent="0.3">
      <c r="B366" s="2">
        <v>145</v>
      </c>
    </row>
    <row r="367" spans="2:2" x14ac:dyDescent="0.3">
      <c r="B367" s="2">
        <v>212</v>
      </c>
    </row>
    <row r="368" spans="2:2" x14ac:dyDescent="0.3">
      <c r="B368" s="2">
        <v>160</v>
      </c>
    </row>
    <row r="369" spans="2:2" x14ac:dyDescent="0.3">
      <c r="B369" s="2">
        <v>145</v>
      </c>
    </row>
    <row r="370" spans="2:2" x14ac:dyDescent="0.3">
      <c r="B370" s="2">
        <v>335</v>
      </c>
    </row>
    <row r="371" spans="2:2" x14ac:dyDescent="0.3">
      <c r="B371" s="2">
        <v>516</v>
      </c>
    </row>
    <row r="372" spans="2:2" x14ac:dyDescent="0.3">
      <c r="B372" s="2">
        <v>145</v>
      </c>
    </row>
    <row r="373" spans="2:2" x14ac:dyDescent="0.3">
      <c r="B373" s="2">
        <v>177</v>
      </c>
    </row>
    <row r="374" spans="2:2" x14ac:dyDescent="0.3">
      <c r="B374" s="2">
        <v>388</v>
      </c>
    </row>
    <row r="375" spans="2:2" x14ac:dyDescent="0.3">
      <c r="B375" s="2">
        <v>349</v>
      </c>
    </row>
    <row r="376" spans="2:2" x14ac:dyDescent="0.3">
      <c r="B376" s="2">
        <v>300</v>
      </c>
    </row>
    <row r="377" spans="2:2" x14ac:dyDescent="0.3">
      <c r="B377" s="2">
        <v>120</v>
      </c>
    </row>
    <row r="378" spans="2:2" x14ac:dyDescent="0.3">
      <c r="B378" s="2">
        <v>177</v>
      </c>
    </row>
    <row r="379" spans="2:2" x14ac:dyDescent="0.3">
      <c r="B379" s="2">
        <v>145</v>
      </c>
    </row>
    <row r="380" spans="2:2" x14ac:dyDescent="0.3">
      <c r="B380" s="2">
        <v>349</v>
      </c>
    </row>
    <row r="381" spans="2:2" x14ac:dyDescent="0.3">
      <c r="B381" s="2">
        <v>424</v>
      </c>
    </row>
    <row r="382" spans="2:2" x14ac:dyDescent="0.3">
      <c r="B382" s="2">
        <v>135</v>
      </c>
    </row>
    <row r="383" spans="2:2" x14ac:dyDescent="0.3">
      <c r="B383" s="2">
        <v>135</v>
      </c>
    </row>
    <row r="384" spans="2:2" x14ac:dyDescent="0.3">
      <c r="B384" s="2">
        <v>359</v>
      </c>
    </row>
    <row r="385" spans="2:2" x14ac:dyDescent="0.3">
      <c r="B385" s="2">
        <v>335</v>
      </c>
    </row>
    <row r="386" spans="2:2" x14ac:dyDescent="0.3">
      <c r="B386" s="2">
        <v>286</v>
      </c>
    </row>
    <row r="387" spans="2:2" x14ac:dyDescent="0.3">
      <c r="B387" s="2">
        <v>142</v>
      </c>
    </row>
    <row r="388" spans="2:2" x14ac:dyDescent="0.3">
      <c r="B388" s="2">
        <v>283</v>
      </c>
    </row>
    <row r="389" spans="2:2" x14ac:dyDescent="0.3">
      <c r="B389" s="2">
        <v>147</v>
      </c>
    </row>
    <row r="390" spans="2:2" x14ac:dyDescent="0.3">
      <c r="B390" s="2">
        <v>426</v>
      </c>
    </row>
    <row r="391" spans="2:2" x14ac:dyDescent="0.3">
      <c r="B391" s="2">
        <v>335</v>
      </c>
    </row>
    <row r="392" spans="2:2" x14ac:dyDescent="0.3">
      <c r="B392" s="2">
        <v>179</v>
      </c>
    </row>
    <row r="393" spans="2:2" x14ac:dyDescent="0.3">
      <c r="B393" s="2">
        <v>144</v>
      </c>
    </row>
    <row r="394" spans="2:2" x14ac:dyDescent="0.3">
      <c r="B394" s="2">
        <v>283</v>
      </c>
    </row>
    <row r="395" spans="2:2" x14ac:dyDescent="0.3">
      <c r="B395" s="2">
        <v>139</v>
      </c>
    </row>
    <row r="396" spans="2:2" x14ac:dyDescent="0.3">
      <c r="B396" s="2">
        <v>335</v>
      </c>
    </row>
    <row r="397" spans="2:2" x14ac:dyDescent="0.3">
      <c r="B397" s="2">
        <v>135</v>
      </c>
    </row>
    <row r="398" spans="2:2" x14ac:dyDescent="0.3">
      <c r="B398" s="2">
        <v>142</v>
      </c>
    </row>
    <row r="399" spans="2:2" x14ac:dyDescent="0.3">
      <c r="B399" s="2">
        <v>167</v>
      </c>
    </row>
    <row r="400" spans="2:2" x14ac:dyDescent="0.3">
      <c r="B400" s="2">
        <v>331</v>
      </c>
    </row>
    <row r="401" spans="2:2" x14ac:dyDescent="0.3">
      <c r="B401" s="2">
        <v>325</v>
      </c>
    </row>
    <row r="402" spans="2:2" x14ac:dyDescent="0.3">
      <c r="B402" s="2">
        <v>145</v>
      </c>
    </row>
    <row r="403" spans="2:2" x14ac:dyDescent="0.3">
      <c r="B403" s="2">
        <v>140</v>
      </c>
    </row>
    <row r="404" spans="2:2" x14ac:dyDescent="0.3">
      <c r="B404" s="2">
        <v>349</v>
      </c>
    </row>
    <row r="405" spans="2:2" x14ac:dyDescent="0.3">
      <c r="B405" s="2">
        <v>384</v>
      </c>
    </row>
    <row r="406" spans="2:2" x14ac:dyDescent="0.3">
      <c r="B406" s="2">
        <v>145</v>
      </c>
    </row>
    <row r="407" spans="2:2" x14ac:dyDescent="0.3">
      <c r="B407" s="2">
        <v>220</v>
      </c>
    </row>
    <row r="408" spans="2:2" x14ac:dyDescent="0.3">
      <c r="B408" s="2">
        <v>160</v>
      </c>
    </row>
    <row r="409" spans="2:2" x14ac:dyDescent="0.3">
      <c r="B409" s="2">
        <v>145</v>
      </c>
    </row>
    <row r="410" spans="2:2" x14ac:dyDescent="0.3">
      <c r="B410" s="2">
        <v>335</v>
      </c>
    </row>
    <row r="411" spans="2:2" x14ac:dyDescent="0.3">
      <c r="B411" s="2">
        <v>516</v>
      </c>
    </row>
    <row r="412" spans="2:2" x14ac:dyDescent="0.3">
      <c r="B412" s="2">
        <v>145</v>
      </c>
    </row>
    <row r="413" spans="2:2" x14ac:dyDescent="0.3">
      <c r="B413" s="2">
        <v>212</v>
      </c>
    </row>
    <row r="414" spans="2:2" x14ac:dyDescent="0.3">
      <c r="B414" s="2">
        <v>388</v>
      </c>
    </row>
    <row r="415" spans="2:2" x14ac:dyDescent="0.3">
      <c r="B415" s="2">
        <v>349</v>
      </c>
    </row>
    <row r="416" spans="2:2" x14ac:dyDescent="0.3">
      <c r="B416" s="2">
        <v>300</v>
      </c>
    </row>
    <row r="417" spans="2:2" x14ac:dyDescent="0.3">
      <c r="B417" s="2">
        <v>120</v>
      </c>
    </row>
    <row r="418" spans="2:2" x14ac:dyDescent="0.3">
      <c r="B418" s="2">
        <v>177</v>
      </c>
    </row>
    <row r="419" spans="2:2" x14ac:dyDescent="0.3">
      <c r="B419" s="2">
        <v>145</v>
      </c>
    </row>
    <row r="420" spans="2:2" x14ac:dyDescent="0.3">
      <c r="B420" s="2">
        <v>349</v>
      </c>
    </row>
    <row r="421" spans="2:2" x14ac:dyDescent="0.3">
      <c r="B421" s="2">
        <v>424</v>
      </c>
    </row>
    <row r="422" spans="2:2" x14ac:dyDescent="0.3">
      <c r="B422" s="2">
        <v>135</v>
      </c>
    </row>
    <row r="423" spans="2:2" x14ac:dyDescent="0.3">
      <c r="B423" s="2">
        <v>135</v>
      </c>
    </row>
    <row r="424" spans="2:2" x14ac:dyDescent="0.3">
      <c r="B424" s="2">
        <v>359</v>
      </c>
    </row>
    <row r="425" spans="2:2" x14ac:dyDescent="0.3">
      <c r="B425" s="2">
        <v>335</v>
      </c>
    </row>
    <row r="426" spans="2:2" x14ac:dyDescent="0.3">
      <c r="B426" s="2">
        <v>286</v>
      </c>
    </row>
    <row r="427" spans="2:2" x14ac:dyDescent="0.3">
      <c r="B427" s="2">
        <v>142</v>
      </c>
    </row>
    <row r="428" spans="2:2" x14ac:dyDescent="0.3">
      <c r="B428" s="2">
        <v>283</v>
      </c>
    </row>
    <row r="429" spans="2:2" x14ac:dyDescent="0.3">
      <c r="B429" s="2">
        <v>147</v>
      </c>
    </row>
    <row r="430" spans="2:2" x14ac:dyDescent="0.3">
      <c r="B430" s="2">
        <v>426</v>
      </c>
    </row>
    <row r="431" spans="2:2" x14ac:dyDescent="0.3">
      <c r="B431" s="2">
        <v>335</v>
      </c>
    </row>
    <row r="432" spans="2:2" x14ac:dyDescent="0.3">
      <c r="B432" s="2">
        <v>179</v>
      </c>
    </row>
    <row r="433" spans="2:2" x14ac:dyDescent="0.3">
      <c r="B433" s="2">
        <v>144</v>
      </c>
    </row>
    <row r="434" spans="2:2" x14ac:dyDescent="0.3">
      <c r="B434" s="2">
        <v>283</v>
      </c>
    </row>
    <row r="435" spans="2:2" x14ac:dyDescent="0.3">
      <c r="B435" s="2">
        <v>139</v>
      </c>
    </row>
    <row r="436" spans="2:2" x14ac:dyDescent="0.3">
      <c r="B436" s="2">
        <v>335</v>
      </c>
    </row>
    <row r="437" spans="2:2" x14ac:dyDescent="0.3">
      <c r="B437" s="2">
        <v>135</v>
      </c>
    </row>
    <row r="438" spans="2:2" x14ac:dyDescent="0.3">
      <c r="B438" s="2">
        <v>142</v>
      </c>
    </row>
    <row r="439" spans="2:2" x14ac:dyDescent="0.3">
      <c r="B439" s="2">
        <v>167</v>
      </c>
    </row>
    <row r="440" spans="2:2" x14ac:dyDescent="0.3">
      <c r="B440" s="2">
        <v>331</v>
      </c>
    </row>
    <row r="441" spans="2:2" x14ac:dyDescent="0.3">
      <c r="B441" s="2">
        <v>325</v>
      </c>
    </row>
    <row r="442" spans="2:2" x14ac:dyDescent="0.3">
      <c r="B442" s="2"/>
    </row>
  </sheetData>
  <mergeCells count="1">
    <mergeCell ref="H1:L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A1D81-4C49-4DAC-836F-35EDFC12779C}">
  <dimension ref="A1:B442"/>
  <sheetViews>
    <sheetView workbookViewId="0">
      <selection activeCell="Q1" sqref="Q1"/>
    </sheetView>
  </sheetViews>
  <sheetFormatPr defaultRowHeight="15.6" x14ac:dyDescent="0.3"/>
  <cols>
    <col min="1" max="1" width="20.09765625" bestFit="1" customWidth="1"/>
    <col min="2" max="2" width="7" customWidth="1"/>
  </cols>
  <sheetData>
    <row r="1" spans="1:2" x14ac:dyDescent="0.3">
      <c r="A1" s="6" t="s">
        <v>9</v>
      </c>
      <c r="B1" s="14" t="s">
        <v>5</v>
      </c>
    </row>
    <row r="2" spans="1:2" x14ac:dyDescent="0.3">
      <c r="A2" s="4" t="s">
        <v>15</v>
      </c>
      <c r="B2" s="4">
        <v>4</v>
      </c>
    </row>
    <row r="3" spans="1:2" x14ac:dyDescent="0.3">
      <c r="A3" s="4" t="s">
        <v>19</v>
      </c>
      <c r="B3" s="4">
        <v>1.3</v>
      </c>
    </row>
    <row r="4" spans="1:2" x14ac:dyDescent="0.3">
      <c r="A4" s="4" t="s">
        <v>23</v>
      </c>
      <c r="B4" s="4">
        <v>4.4000000000000004</v>
      </c>
    </row>
    <row r="5" spans="1:2" x14ac:dyDescent="0.3">
      <c r="A5" s="4" t="s">
        <v>23</v>
      </c>
      <c r="B5" s="4">
        <v>4.3</v>
      </c>
    </row>
    <row r="6" spans="1:2" x14ac:dyDescent="0.3">
      <c r="A6" s="4" t="s">
        <v>29</v>
      </c>
      <c r="B6" s="4">
        <v>4</v>
      </c>
    </row>
    <row r="7" spans="1:2" x14ac:dyDescent="0.3">
      <c r="A7" s="4" t="s">
        <v>32</v>
      </c>
      <c r="B7" s="4">
        <v>3</v>
      </c>
    </row>
    <row r="8" spans="1:2" x14ac:dyDescent="0.3">
      <c r="A8" s="4" t="s">
        <v>35</v>
      </c>
      <c r="B8" s="4">
        <v>4</v>
      </c>
    </row>
    <row r="9" spans="1:2" x14ac:dyDescent="0.3">
      <c r="A9" s="4" t="s">
        <v>29</v>
      </c>
      <c r="B9" s="4">
        <v>2.5</v>
      </c>
    </row>
    <row r="10" spans="1:2" x14ac:dyDescent="0.3">
      <c r="A10" s="4" t="s">
        <v>23</v>
      </c>
      <c r="B10" s="4">
        <v>4.4000000000000004</v>
      </c>
    </row>
    <row r="11" spans="1:2" x14ac:dyDescent="0.3">
      <c r="A11" s="4" t="s">
        <v>23</v>
      </c>
      <c r="B11" s="4">
        <v>4</v>
      </c>
    </row>
    <row r="12" spans="1:2" x14ac:dyDescent="0.3">
      <c r="A12" s="4" t="s">
        <v>44</v>
      </c>
      <c r="B12" s="4">
        <v>4</v>
      </c>
    </row>
    <row r="13" spans="1:2" x14ac:dyDescent="0.3">
      <c r="A13" s="4" t="s">
        <v>19</v>
      </c>
      <c r="B13" s="4">
        <v>4</v>
      </c>
    </row>
    <row r="14" spans="1:2" x14ac:dyDescent="0.3">
      <c r="A14" s="4" t="s">
        <v>23</v>
      </c>
      <c r="B14" s="4">
        <v>3.6</v>
      </c>
    </row>
    <row r="15" spans="1:2" x14ac:dyDescent="0.3">
      <c r="A15" s="4" t="s">
        <v>23</v>
      </c>
      <c r="B15" s="4">
        <v>4.3</v>
      </c>
    </row>
    <row r="16" spans="1:2" x14ac:dyDescent="0.3">
      <c r="A16" s="4" t="s">
        <v>53</v>
      </c>
      <c r="B16" s="4">
        <v>4</v>
      </c>
    </row>
    <row r="17" spans="1:2" x14ac:dyDescent="0.3">
      <c r="A17" s="4" t="s">
        <v>57</v>
      </c>
      <c r="B17" s="4">
        <v>4</v>
      </c>
    </row>
    <row r="18" spans="1:2" x14ac:dyDescent="0.3">
      <c r="A18" s="4" t="s">
        <v>29</v>
      </c>
      <c r="B18" s="4">
        <v>4</v>
      </c>
    </row>
    <row r="19" spans="1:2" x14ac:dyDescent="0.3">
      <c r="A19" s="4" t="s">
        <v>29</v>
      </c>
      <c r="B19" s="4">
        <v>3.4</v>
      </c>
    </row>
    <row r="20" spans="1:2" x14ac:dyDescent="0.3">
      <c r="A20" s="4" t="s">
        <v>23</v>
      </c>
      <c r="B20" s="4">
        <v>4.3</v>
      </c>
    </row>
    <row r="21" spans="1:2" x14ac:dyDescent="0.3">
      <c r="A21" s="4" t="s">
        <v>23</v>
      </c>
      <c r="B21" s="4">
        <v>4.3</v>
      </c>
    </row>
    <row r="22" spans="1:2" x14ac:dyDescent="0.3">
      <c r="A22" s="4" t="s">
        <v>15</v>
      </c>
      <c r="B22" s="4">
        <v>4</v>
      </c>
    </row>
    <row r="23" spans="1:2" x14ac:dyDescent="0.3">
      <c r="A23" s="4" t="s">
        <v>44</v>
      </c>
      <c r="B23" s="4">
        <v>4</v>
      </c>
    </row>
    <row r="24" spans="1:2" x14ac:dyDescent="0.3">
      <c r="A24" s="4" t="s">
        <v>23</v>
      </c>
      <c r="B24" s="4">
        <v>4.3</v>
      </c>
    </row>
    <row r="25" spans="1:2" x14ac:dyDescent="0.3">
      <c r="A25" s="4" t="s">
        <v>23</v>
      </c>
      <c r="B25" s="4">
        <v>4.4000000000000004</v>
      </c>
    </row>
    <row r="26" spans="1:2" x14ac:dyDescent="0.3">
      <c r="A26" s="4" t="s">
        <v>72</v>
      </c>
      <c r="B26" s="4">
        <v>2.8</v>
      </c>
    </row>
    <row r="27" spans="1:2" x14ac:dyDescent="0.3">
      <c r="A27" s="4" t="s">
        <v>29</v>
      </c>
      <c r="B27" s="4">
        <v>3.5</v>
      </c>
    </row>
    <row r="28" spans="1:2" x14ac:dyDescent="0.3">
      <c r="A28" s="4" t="s">
        <v>76</v>
      </c>
      <c r="B28" s="4">
        <v>4</v>
      </c>
    </row>
    <row r="29" spans="1:2" x14ac:dyDescent="0.3">
      <c r="A29" s="4" t="s">
        <v>79</v>
      </c>
      <c r="B29" s="4">
        <v>4</v>
      </c>
    </row>
    <row r="30" spans="1:2" x14ac:dyDescent="0.3">
      <c r="A30" s="4" t="s">
        <v>23</v>
      </c>
      <c r="B30" s="4">
        <v>4</v>
      </c>
    </row>
    <row r="31" spans="1:2" x14ac:dyDescent="0.3">
      <c r="A31" s="4" t="s">
        <v>23</v>
      </c>
      <c r="B31" s="4">
        <v>4.2</v>
      </c>
    </row>
    <row r="32" spans="1:2" x14ac:dyDescent="0.3">
      <c r="A32" s="4" t="s">
        <v>84</v>
      </c>
      <c r="B32" s="4">
        <v>4</v>
      </c>
    </row>
    <row r="33" spans="1:2" x14ac:dyDescent="0.3">
      <c r="A33" s="4" t="s">
        <v>35</v>
      </c>
      <c r="B33" s="4">
        <v>4</v>
      </c>
    </row>
    <row r="34" spans="1:2" x14ac:dyDescent="0.3">
      <c r="A34" s="4" t="s">
        <v>23</v>
      </c>
      <c r="B34" s="4">
        <v>4</v>
      </c>
    </row>
    <row r="35" spans="1:2" x14ac:dyDescent="0.3">
      <c r="A35" s="4" t="s">
        <v>23</v>
      </c>
      <c r="B35" s="4">
        <v>4.4000000000000004</v>
      </c>
    </row>
    <row r="36" spans="1:2" x14ac:dyDescent="0.3">
      <c r="A36" s="4" t="s">
        <v>89</v>
      </c>
      <c r="B36" s="4">
        <v>2.4</v>
      </c>
    </row>
    <row r="37" spans="1:2" x14ac:dyDescent="0.3">
      <c r="A37" s="4" t="s">
        <v>92</v>
      </c>
      <c r="B37" s="4">
        <v>4</v>
      </c>
    </row>
    <row r="38" spans="1:2" x14ac:dyDescent="0.3">
      <c r="A38" s="4" t="s">
        <v>95</v>
      </c>
      <c r="B38" s="4">
        <v>4</v>
      </c>
    </row>
    <row r="39" spans="1:2" x14ac:dyDescent="0.3">
      <c r="A39" s="4" t="s">
        <v>98</v>
      </c>
      <c r="B39" s="4">
        <v>4</v>
      </c>
    </row>
    <row r="40" spans="1:2" x14ac:dyDescent="0.3">
      <c r="A40" s="4" t="s">
        <v>23</v>
      </c>
      <c r="B40" s="4">
        <v>4.0999999999999996</v>
      </c>
    </row>
    <row r="41" spans="1:2" x14ac:dyDescent="0.3">
      <c r="A41" s="4" t="s">
        <v>23</v>
      </c>
      <c r="B41" s="4">
        <v>4</v>
      </c>
    </row>
    <row r="42" spans="1:2" x14ac:dyDescent="0.3">
      <c r="A42" s="4" t="s">
        <v>29</v>
      </c>
      <c r="B42" s="4">
        <v>4</v>
      </c>
    </row>
    <row r="43" spans="1:2" x14ac:dyDescent="0.3">
      <c r="A43" s="4" t="s">
        <v>23</v>
      </c>
      <c r="B43" s="4">
        <v>4.2</v>
      </c>
    </row>
    <row r="44" spans="1:2" x14ac:dyDescent="0.3">
      <c r="A44" s="4" t="s">
        <v>23</v>
      </c>
      <c r="B44" s="4">
        <v>4.4000000000000004</v>
      </c>
    </row>
    <row r="45" spans="1:2" x14ac:dyDescent="0.3">
      <c r="A45" s="4" t="s">
        <v>23</v>
      </c>
      <c r="B45" s="4">
        <v>4.3</v>
      </c>
    </row>
    <row r="46" spans="1:2" x14ac:dyDescent="0.3">
      <c r="A46" s="4" t="s">
        <v>15</v>
      </c>
      <c r="B46" s="4">
        <v>4</v>
      </c>
    </row>
    <row r="47" spans="1:2" x14ac:dyDescent="0.3">
      <c r="A47" s="4" t="s">
        <v>111</v>
      </c>
      <c r="B47" s="4">
        <v>2.2000000000000002</v>
      </c>
    </row>
    <row r="48" spans="1:2" x14ac:dyDescent="0.3">
      <c r="A48" s="4" t="s">
        <v>23</v>
      </c>
      <c r="B48" s="4">
        <v>4.2</v>
      </c>
    </row>
    <row r="49" spans="1:2" x14ac:dyDescent="0.3">
      <c r="A49" s="4" t="s">
        <v>115</v>
      </c>
      <c r="B49" s="4">
        <v>1.7</v>
      </c>
    </row>
    <row r="50" spans="1:2" x14ac:dyDescent="0.3">
      <c r="A50" s="4" t="s">
        <v>23</v>
      </c>
      <c r="B50" s="4">
        <v>4.4000000000000004</v>
      </c>
    </row>
    <row r="51" spans="1:2" x14ac:dyDescent="0.3">
      <c r="A51" s="4" t="s">
        <v>23</v>
      </c>
      <c r="B51" s="4">
        <v>4</v>
      </c>
    </row>
    <row r="52" spans="1:2" x14ac:dyDescent="0.3">
      <c r="A52" s="4" t="s">
        <v>19</v>
      </c>
      <c r="B52" s="4">
        <v>4</v>
      </c>
    </row>
    <row r="53" spans="1:2" x14ac:dyDescent="0.3">
      <c r="A53" s="4" t="s">
        <v>121</v>
      </c>
      <c r="B53" s="4">
        <v>4</v>
      </c>
    </row>
    <row r="54" spans="1:2" x14ac:dyDescent="0.3">
      <c r="A54" s="4" t="s">
        <v>23</v>
      </c>
      <c r="B54" s="4">
        <v>3.6</v>
      </c>
    </row>
    <row r="55" spans="1:2" x14ac:dyDescent="0.3">
      <c r="A55" s="4" t="s">
        <v>23</v>
      </c>
      <c r="B55" s="4">
        <v>4.3</v>
      </c>
    </row>
    <row r="56" spans="1:2" x14ac:dyDescent="0.3">
      <c r="A56" s="4" t="s">
        <v>15</v>
      </c>
      <c r="B56" s="4">
        <v>4</v>
      </c>
    </row>
    <row r="57" spans="1:2" x14ac:dyDescent="0.3">
      <c r="A57" s="4" t="s">
        <v>44</v>
      </c>
      <c r="B57" s="4">
        <v>2.6</v>
      </c>
    </row>
    <row r="58" spans="1:2" x14ac:dyDescent="0.3">
      <c r="A58" s="4" t="s">
        <v>29</v>
      </c>
      <c r="B58" s="4">
        <v>1.7</v>
      </c>
    </row>
    <row r="59" spans="1:2" x14ac:dyDescent="0.3">
      <c r="A59" s="4" t="s">
        <v>131</v>
      </c>
      <c r="B59" s="4">
        <v>4</v>
      </c>
    </row>
    <row r="60" spans="1:2" x14ac:dyDescent="0.3">
      <c r="A60" s="4" t="s">
        <v>23</v>
      </c>
      <c r="B60" s="4">
        <v>4.3</v>
      </c>
    </row>
    <row r="61" spans="1:2" x14ac:dyDescent="0.3">
      <c r="A61" s="4" t="s">
        <v>23</v>
      </c>
      <c r="B61" s="4">
        <v>4.3</v>
      </c>
    </row>
    <row r="62" spans="1:2" x14ac:dyDescent="0.3">
      <c r="A62" s="4" t="s">
        <v>15</v>
      </c>
      <c r="B62" s="4">
        <v>4</v>
      </c>
    </row>
    <row r="63" spans="1:2" x14ac:dyDescent="0.3">
      <c r="A63" s="4" t="s">
        <v>137</v>
      </c>
      <c r="B63" s="4">
        <v>4</v>
      </c>
    </row>
    <row r="64" spans="1:2" x14ac:dyDescent="0.3">
      <c r="A64" s="4" t="s">
        <v>23</v>
      </c>
      <c r="B64" s="4">
        <v>4.3</v>
      </c>
    </row>
    <row r="65" spans="1:2" x14ac:dyDescent="0.3">
      <c r="A65" s="4" t="s">
        <v>23</v>
      </c>
      <c r="B65" s="4">
        <v>4.4000000000000004</v>
      </c>
    </row>
    <row r="66" spans="1:2" x14ac:dyDescent="0.3">
      <c r="A66" s="4" t="s">
        <v>141</v>
      </c>
      <c r="B66" s="4">
        <v>4</v>
      </c>
    </row>
    <row r="67" spans="1:2" x14ac:dyDescent="0.3">
      <c r="A67" s="4" t="s">
        <v>144</v>
      </c>
      <c r="B67" s="4">
        <v>3</v>
      </c>
    </row>
    <row r="68" spans="1:2" x14ac:dyDescent="0.3">
      <c r="A68" s="4" t="s">
        <v>44</v>
      </c>
      <c r="B68" s="4">
        <v>4</v>
      </c>
    </row>
    <row r="69" spans="1:2" x14ac:dyDescent="0.3">
      <c r="A69" s="4" t="s">
        <v>84</v>
      </c>
      <c r="B69" s="4">
        <v>2.2000000000000002</v>
      </c>
    </row>
    <row r="70" spans="1:2" x14ac:dyDescent="0.3">
      <c r="A70" s="4" t="s">
        <v>23</v>
      </c>
      <c r="B70" s="4">
        <v>4</v>
      </c>
    </row>
    <row r="71" spans="1:2" x14ac:dyDescent="0.3">
      <c r="A71" s="4" t="s">
        <v>23</v>
      </c>
      <c r="B71" s="4">
        <v>4.2</v>
      </c>
    </row>
    <row r="72" spans="1:2" x14ac:dyDescent="0.3">
      <c r="A72" s="4" t="s">
        <v>152</v>
      </c>
      <c r="B72" s="4">
        <v>4</v>
      </c>
    </row>
    <row r="73" spans="1:2" x14ac:dyDescent="0.3">
      <c r="A73" s="4" t="s">
        <v>155</v>
      </c>
      <c r="B73" s="4">
        <v>4</v>
      </c>
    </row>
    <row r="74" spans="1:2" x14ac:dyDescent="0.3">
      <c r="A74" s="4" t="s">
        <v>23</v>
      </c>
      <c r="B74" s="4">
        <v>4</v>
      </c>
    </row>
    <row r="75" spans="1:2" x14ac:dyDescent="0.3">
      <c r="A75" s="4" t="s">
        <v>23</v>
      </c>
      <c r="B75" s="4">
        <v>4.4000000000000004</v>
      </c>
    </row>
    <row r="76" spans="1:2" x14ac:dyDescent="0.3">
      <c r="A76" s="4" t="s">
        <v>19</v>
      </c>
      <c r="B76" s="4">
        <v>4</v>
      </c>
    </row>
    <row r="77" spans="1:2" x14ac:dyDescent="0.3">
      <c r="A77" s="4" t="s">
        <v>79</v>
      </c>
      <c r="B77" s="4">
        <v>4</v>
      </c>
    </row>
    <row r="78" spans="1:2" x14ac:dyDescent="0.3">
      <c r="A78" s="4" t="s">
        <v>163</v>
      </c>
      <c r="B78" s="4">
        <v>1.8</v>
      </c>
    </row>
    <row r="79" spans="1:2" x14ac:dyDescent="0.3">
      <c r="A79" s="4" t="s">
        <v>155</v>
      </c>
      <c r="B79" s="4">
        <v>4</v>
      </c>
    </row>
    <row r="80" spans="1:2" x14ac:dyDescent="0.3">
      <c r="A80" s="4" t="s">
        <v>23</v>
      </c>
      <c r="B80" s="4">
        <v>4.0999999999999996</v>
      </c>
    </row>
    <row r="81" spans="1:2" x14ac:dyDescent="0.3">
      <c r="A81" s="4" t="s">
        <v>23</v>
      </c>
      <c r="B81" s="4">
        <v>4</v>
      </c>
    </row>
    <row r="82" spans="1:2" x14ac:dyDescent="0.3">
      <c r="A82" s="4" t="s">
        <v>169</v>
      </c>
      <c r="B82" s="4">
        <v>3.1</v>
      </c>
    </row>
    <row r="83" spans="1:2" x14ac:dyDescent="0.3">
      <c r="A83" s="4" t="s">
        <v>172</v>
      </c>
      <c r="B83" s="4">
        <v>2.2999999999999998</v>
      </c>
    </row>
    <row r="84" spans="1:2" x14ac:dyDescent="0.3">
      <c r="A84" s="4" t="s">
        <v>23</v>
      </c>
      <c r="B84" s="4">
        <v>4.4000000000000004</v>
      </c>
    </row>
    <row r="85" spans="1:2" x14ac:dyDescent="0.3">
      <c r="A85" s="4" t="s">
        <v>23</v>
      </c>
      <c r="B85" s="4">
        <v>4.3</v>
      </c>
    </row>
    <row r="86" spans="1:2" x14ac:dyDescent="0.3">
      <c r="A86" s="4" t="s">
        <v>29</v>
      </c>
      <c r="B86" s="4">
        <v>4.0999999999999996</v>
      </c>
    </row>
    <row r="87" spans="1:2" x14ac:dyDescent="0.3">
      <c r="A87" s="4" t="s">
        <v>141</v>
      </c>
      <c r="B87" s="4">
        <v>4</v>
      </c>
    </row>
    <row r="88" spans="1:2" x14ac:dyDescent="0.3">
      <c r="A88" s="4" t="s">
        <v>183</v>
      </c>
      <c r="B88" s="4">
        <v>1</v>
      </c>
    </row>
    <row r="89" spans="1:2" x14ac:dyDescent="0.3">
      <c r="A89" s="4" t="s">
        <v>144</v>
      </c>
      <c r="B89" s="4">
        <v>1.9</v>
      </c>
    </row>
    <row r="90" spans="1:2" x14ac:dyDescent="0.3">
      <c r="A90" s="4" t="s">
        <v>23</v>
      </c>
      <c r="B90" s="4">
        <v>4.4000000000000004</v>
      </c>
    </row>
    <row r="91" spans="1:2" x14ac:dyDescent="0.3">
      <c r="A91" s="4" t="s">
        <v>23</v>
      </c>
      <c r="B91" s="4">
        <v>4</v>
      </c>
    </row>
    <row r="92" spans="1:2" x14ac:dyDescent="0.3">
      <c r="A92" s="4" t="s">
        <v>29</v>
      </c>
      <c r="B92" s="4">
        <v>3.6</v>
      </c>
    </row>
    <row r="93" spans="1:2" x14ac:dyDescent="0.3">
      <c r="A93" s="4" t="s">
        <v>192</v>
      </c>
      <c r="B93" s="4">
        <v>3.5</v>
      </c>
    </row>
    <row r="94" spans="1:2" x14ac:dyDescent="0.3">
      <c r="A94" s="4" t="s">
        <v>23</v>
      </c>
      <c r="B94" s="4">
        <v>3.6</v>
      </c>
    </row>
    <row r="95" spans="1:2" x14ac:dyDescent="0.3">
      <c r="A95" s="4" t="s">
        <v>23</v>
      </c>
      <c r="B95" s="4">
        <v>4.3</v>
      </c>
    </row>
    <row r="96" spans="1:2" x14ac:dyDescent="0.3">
      <c r="A96" s="4" t="s">
        <v>197</v>
      </c>
      <c r="B96" s="4">
        <v>4</v>
      </c>
    </row>
    <row r="97" spans="1:2" x14ac:dyDescent="0.3">
      <c r="A97" s="4" t="s">
        <v>44</v>
      </c>
      <c r="B97" s="4">
        <v>3.6</v>
      </c>
    </row>
    <row r="98" spans="1:2" x14ac:dyDescent="0.3">
      <c r="A98" s="4" t="s">
        <v>44</v>
      </c>
      <c r="B98" s="4">
        <v>3.6</v>
      </c>
    </row>
    <row r="99" spans="1:2" x14ac:dyDescent="0.3">
      <c r="A99" s="4" t="s">
        <v>204</v>
      </c>
      <c r="B99" s="4">
        <v>3.4</v>
      </c>
    </row>
    <row r="100" spans="1:2" x14ac:dyDescent="0.3">
      <c r="A100" s="4" t="s">
        <v>23</v>
      </c>
      <c r="B100" s="4">
        <v>4.3</v>
      </c>
    </row>
    <row r="101" spans="1:2" x14ac:dyDescent="0.3">
      <c r="A101" s="4" t="s">
        <v>23</v>
      </c>
      <c r="B101" s="4">
        <v>4.3</v>
      </c>
    </row>
    <row r="102" spans="1:2" x14ac:dyDescent="0.3">
      <c r="A102" s="4" t="s">
        <v>29</v>
      </c>
      <c r="B102" s="4">
        <v>3.3</v>
      </c>
    </row>
    <row r="103" spans="1:2" x14ac:dyDescent="0.3">
      <c r="A103" s="4" t="s">
        <v>115</v>
      </c>
      <c r="B103" s="4">
        <v>3.6</v>
      </c>
    </row>
    <row r="104" spans="1:2" x14ac:dyDescent="0.3">
      <c r="A104" s="4" t="s">
        <v>23</v>
      </c>
      <c r="B104" s="4">
        <v>4.3</v>
      </c>
    </row>
    <row r="105" spans="1:2" x14ac:dyDescent="0.3">
      <c r="A105" s="4" t="s">
        <v>23</v>
      </c>
      <c r="B105" s="4">
        <v>4.4000000000000004</v>
      </c>
    </row>
    <row r="106" spans="1:2" x14ac:dyDescent="0.3">
      <c r="A106" s="4" t="s">
        <v>215</v>
      </c>
      <c r="B106" s="4">
        <v>3.5</v>
      </c>
    </row>
    <row r="107" spans="1:2" x14ac:dyDescent="0.3">
      <c r="A107" s="4" t="s">
        <v>218</v>
      </c>
      <c r="B107" s="4">
        <v>3.4</v>
      </c>
    </row>
    <row r="108" spans="1:2" x14ac:dyDescent="0.3">
      <c r="A108" s="4" t="s">
        <v>221</v>
      </c>
      <c r="B108" s="4">
        <v>3.6</v>
      </c>
    </row>
    <row r="109" spans="1:2" x14ac:dyDescent="0.3">
      <c r="A109" s="4" t="s">
        <v>121</v>
      </c>
      <c r="B109" s="4">
        <v>3.3</v>
      </c>
    </row>
    <row r="110" spans="1:2" x14ac:dyDescent="0.3">
      <c r="A110" s="4" t="s">
        <v>23</v>
      </c>
      <c r="B110" s="4">
        <v>4</v>
      </c>
    </row>
    <row r="111" spans="1:2" x14ac:dyDescent="0.3">
      <c r="A111" s="4" t="s">
        <v>23</v>
      </c>
      <c r="B111" s="4">
        <v>4.2</v>
      </c>
    </row>
    <row r="112" spans="1:2" x14ac:dyDescent="0.3">
      <c r="A112" s="4" t="s">
        <v>29</v>
      </c>
      <c r="B112" s="4">
        <v>4</v>
      </c>
    </row>
    <row r="113" spans="1:2" x14ac:dyDescent="0.3">
      <c r="A113" s="4" t="s">
        <v>230</v>
      </c>
      <c r="B113" s="4">
        <v>3.4</v>
      </c>
    </row>
    <row r="114" spans="1:2" x14ac:dyDescent="0.3">
      <c r="A114" s="4" t="s">
        <v>23</v>
      </c>
      <c r="B114" s="4">
        <v>4</v>
      </c>
    </row>
    <row r="115" spans="1:2" x14ac:dyDescent="0.3">
      <c r="A115" s="4" t="s">
        <v>23</v>
      </c>
      <c r="B115" s="4">
        <v>4.4000000000000004</v>
      </c>
    </row>
    <row r="116" spans="1:2" x14ac:dyDescent="0.3">
      <c r="A116" s="4" t="s">
        <v>236</v>
      </c>
      <c r="B116" s="4">
        <v>3.7</v>
      </c>
    </row>
    <row r="117" spans="1:2" x14ac:dyDescent="0.3">
      <c r="A117" s="4" t="s">
        <v>239</v>
      </c>
      <c r="B117" s="4">
        <v>4</v>
      </c>
    </row>
    <row r="118" spans="1:2" x14ac:dyDescent="0.3">
      <c r="A118" s="4" t="s">
        <v>204</v>
      </c>
      <c r="B118" s="4">
        <v>3.5</v>
      </c>
    </row>
    <row r="119" spans="1:2" x14ac:dyDescent="0.3">
      <c r="A119" s="4" t="s">
        <v>244</v>
      </c>
      <c r="B119" s="4">
        <v>4</v>
      </c>
    </row>
    <row r="120" spans="1:2" x14ac:dyDescent="0.3">
      <c r="A120" s="4" t="s">
        <v>23</v>
      </c>
      <c r="B120" s="4">
        <v>4.0999999999999996</v>
      </c>
    </row>
    <row r="121" spans="1:2" x14ac:dyDescent="0.3">
      <c r="A121" s="4" t="s">
        <v>23</v>
      </c>
      <c r="B121" s="4">
        <v>4</v>
      </c>
    </row>
    <row r="122" spans="1:2" x14ac:dyDescent="0.3">
      <c r="A122" s="4" t="s">
        <v>250</v>
      </c>
      <c r="B122" s="4">
        <v>4</v>
      </c>
    </row>
    <row r="123" spans="1:2" x14ac:dyDescent="0.3">
      <c r="A123" s="4" t="s">
        <v>253</v>
      </c>
      <c r="B123" s="4">
        <v>3.5</v>
      </c>
    </row>
    <row r="124" spans="1:2" x14ac:dyDescent="0.3">
      <c r="A124" s="4" t="s">
        <v>23</v>
      </c>
      <c r="B124" s="4">
        <v>4.4000000000000004</v>
      </c>
    </row>
    <row r="125" spans="1:2" x14ac:dyDescent="0.3">
      <c r="A125" s="4" t="s">
        <v>23</v>
      </c>
      <c r="B125" s="4">
        <v>4.3</v>
      </c>
    </row>
    <row r="126" spans="1:2" x14ac:dyDescent="0.3">
      <c r="A126" s="4" t="s">
        <v>29</v>
      </c>
      <c r="B126" s="4">
        <v>4.0999999999999996</v>
      </c>
    </row>
    <row r="127" spans="1:2" x14ac:dyDescent="0.3">
      <c r="A127" s="4" t="s">
        <v>44</v>
      </c>
      <c r="B127" s="4">
        <v>3.6</v>
      </c>
    </row>
    <row r="128" spans="1:2" x14ac:dyDescent="0.3">
      <c r="A128" s="4" t="s">
        <v>261</v>
      </c>
      <c r="B128" s="4">
        <v>3.2</v>
      </c>
    </row>
    <row r="129" spans="1:2" x14ac:dyDescent="0.3">
      <c r="A129" s="4" t="s">
        <v>29</v>
      </c>
      <c r="B129" s="4">
        <v>4</v>
      </c>
    </row>
    <row r="130" spans="1:2" x14ac:dyDescent="0.3">
      <c r="A130" s="4" t="s">
        <v>23</v>
      </c>
      <c r="B130" s="4">
        <v>4.4000000000000004</v>
      </c>
    </row>
    <row r="131" spans="1:2" x14ac:dyDescent="0.3">
      <c r="A131" s="4" t="s">
        <v>23</v>
      </c>
      <c r="B131" s="4">
        <v>4</v>
      </c>
    </row>
    <row r="132" spans="1:2" x14ac:dyDescent="0.3">
      <c r="A132" s="4" t="s">
        <v>29</v>
      </c>
      <c r="B132" s="4">
        <v>4</v>
      </c>
    </row>
    <row r="133" spans="1:2" x14ac:dyDescent="0.3">
      <c r="A133" s="4" t="s">
        <v>115</v>
      </c>
      <c r="B133" s="4">
        <v>1.8</v>
      </c>
    </row>
    <row r="134" spans="1:2" x14ac:dyDescent="0.3">
      <c r="A134" s="4" t="s">
        <v>23</v>
      </c>
      <c r="B134" s="4">
        <v>3.6</v>
      </c>
    </row>
    <row r="135" spans="1:2" x14ac:dyDescent="0.3">
      <c r="A135" s="4" t="s">
        <v>23</v>
      </c>
      <c r="B135" s="4">
        <v>4.3</v>
      </c>
    </row>
    <row r="136" spans="1:2" x14ac:dyDescent="0.3">
      <c r="A136" s="4" t="s">
        <v>274</v>
      </c>
      <c r="B136" s="4">
        <v>3.5</v>
      </c>
    </row>
    <row r="137" spans="1:2" x14ac:dyDescent="0.3">
      <c r="A137" s="4" t="s">
        <v>44</v>
      </c>
      <c r="B137" s="4">
        <v>3.2</v>
      </c>
    </row>
    <row r="138" spans="1:2" x14ac:dyDescent="0.3">
      <c r="A138" s="4" t="s">
        <v>32</v>
      </c>
      <c r="B138" s="4">
        <v>4</v>
      </c>
    </row>
    <row r="139" spans="1:2" x14ac:dyDescent="0.3">
      <c r="A139" s="4" t="s">
        <v>29</v>
      </c>
      <c r="B139" s="4">
        <v>4</v>
      </c>
    </row>
    <row r="140" spans="1:2" x14ac:dyDescent="0.3">
      <c r="A140" s="4" t="s">
        <v>23</v>
      </c>
      <c r="B140" s="4">
        <v>4.3</v>
      </c>
    </row>
    <row r="141" spans="1:2" x14ac:dyDescent="0.3">
      <c r="A141" s="4" t="s">
        <v>23</v>
      </c>
      <c r="B141" s="4">
        <v>4.3</v>
      </c>
    </row>
    <row r="142" spans="1:2" x14ac:dyDescent="0.3">
      <c r="A142" s="4" t="s">
        <v>121</v>
      </c>
      <c r="B142" s="4">
        <v>3.3</v>
      </c>
    </row>
    <row r="143" spans="1:2" x14ac:dyDescent="0.3">
      <c r="A143" s="4" t="s">
        <v>29</v>
      </c>
      <c r="B143" s="4">
        <v>3.5</v>
      </c>
    </row>
    <row r="144" spans="1:2" x14ac:dyDescent="0.3">
      <c r="A144" s="4" t="s">
        <v>23</v>
      </c>
      <c r="B144" s="4">
        <v>4.3</v>
      </c>
    </row>
    <row r="145" spans="1:2" x14ac:dyDescent="0.3">
      <c r="A145" s="4" t="s">
        <v>23</v>
      </c>
      <c r="B145" s="4">
        <v>4.4000000000000004</v>
      </c>
    </row>
    <row r="146" spans="1:2" x14ac:dyDescent="0.3">
      <c r="A146" s="4" t="s">
        <v>291</v>
      </c>
      <c r="B146" s="4">
        <v>3.9</v>
      </c>
    </row>
    <row r="147" spans="1:2" x14ac:dyDescent="0.3">
      <c r="A147" s="4" t="s">
        <v>72</v>
      </c>
      <c r="B147" s="4">
        <v>3.2</v>
      </c>
    </row>
    <row r="148" spans="1:2" x14ac:dyDescent="0.3">
      <c r="A148" s="4" t="s">
        <v>72</v>
      </c>
      <c r="B148" s="4">
        <v>3.6</v>
      </c>
    </row>
    <row r="149" spans="1:2" x14ac:dyDescent="0.3">
      <c r="A149" s="4" t="s">
        <v>298</v>
      </c>
      <c r="B149" s="4">
        <v>3.2</v>
      </c>
    </row>
    <row r="150" spans="1:2" x14ac:dyDescent="0.3">
      <c r="A150" s="4" t="s">
        <v>23</v>
      </c>
      <c r="B150" s="4">
        <v>4</v>
      </c>
    </row>
    <row r="151" spans="1:2" x14ac:dyDescent="0.3">
      <c r="A151" s="4" t="s">
        <v>23</v>
      </c>
      <c r="B151" s="4">
        <v>4.2</v>
      </c>
    </row>
    <row r="152" spans="1:2" x14ac:dyDescent="0.3">
      <c r="A152" s="4" t="s">
        <v>303</v>
      </c>
      <c r="B152" s="4">
        <v>4</v>
      </c>
    </row>
    <row r="153" spans="1:2" x14ac:dyDescent="0.3">
      <c r="A153" s="4" t="s">
        <v>72</v>
      </c>
      <c r="B153" s="4">
        <v>3.9</v>
      </c>
    </row>
    <row r="154" spans="1:2" x14ac:dyDescent="0.3">
      <c r="A154" s="4" t="s">
        <v>23</v>
      </c>
      <c r="B154" s="4">
        <v>4</v>
      </c>
    </row>
    <row r="155" spans="1:2" x14ac:dyDescent="0.3">
      <c r="A155" s="4" t="s">
        <v>23</v>
      </c>
      <c r="B155" s="4">
        <v>4.4000000000000004</v>
      </c>
    </row>
    <row r="156" spans="1:2" x14ac:dyDescent="0.3">
      <c r="A156" s="4" t="s">
        <v>53</v>
      </c>
      <c r="B156" s="4">
        <v>3</v>
      </c>
    </row>
    <row r="157" spans="1:2" x14ac:dyDescent="0.3">
      <c r="A157" s="4" t="s">
        <v>312</v>
      </c>
      <c r="B157" s="4">
        <v>3.8</v>
      </c>
    </row>
    <row r="158" spans="1:2" x14ac:dyDescent="0.3">
      <c r="A158" s="4" t="s">
        <v>315</v>
      </c>
      <c r="B158" s="4">
        <v>3.3</v>
      </c>
    </row>
    <row r="159" spans="1:2" x14ac:dyDescent="0.3">
      <c r="A159" s="4" t="s">
        <v>44</v>
      </c>
      <c r="B159" s="4">
        <v>3.5</v>
      </c>
    </row>
    <row r="160" spans="1:2" x14ac:dyDescent="0.3">
      <c r="A160" s="4" t="s">
        <v>23</v>
      </c>
      <c r="B160" s="4">
        <v>4.0999999999999996</v>
      </c>
    </row>
    <row r="161" spans="1:2" x14ac:dyDescent="0.3">
      <c r="A161" s="4" t="s">
        <v>23</v>
      </c>
      <c r="B161" s="4">
        <v>4</v>
      </c>
    </row>
    <row r="162" spans="1:2" x14ac:dyDescent="0.3">
      <c r="A162" s="4" t="s">
        <v>244</v>
      </c>
      <c r="B162" s="4">
        <v>4</v>
      </c>
    </row>
    <row r="163" spans="1:2" x14ac:dyDescent="0.3">
      <c r="A163" s="4" t="s">
        <v>29</v>
      </c>
      <c r="B163" s="4">
        <v>3.5</v>
      </c>
    </row>
    <row r="164" spans="1:2" x14ac:dyDescent="0.3">
      <c r="A164" s="4" t="s">
        <v>23</v>
      </c>
      <c r="B164" s="4">
        <v>4.4000000000000004</v>
      </c>
    </row>
    <row r="165" spans="1:2" x14ac:dyDescent="0.3">
      <c r="A165" s="4" t="s">
        <v>23</v>
      </c>
      <c r="B165" s="4">
        <v>4.3</v>
      </c>
    </row>
    <row r="166" spans="1:2" x14ac:dyDescent="0.3">
      <c r="A166" s="4" t="s">
        <v>29</v>
      </c>
      <c r="B166" s="4">
        <v>3.7</v>
      </c>
    </row>
    <row r="167" spans="1:2" x14ac:dyDescent="0.3">
      <c r="A167" s="4" t="s">
        <v>330</v>
      </c>
      <c r="B167" s="4">
        <v>3.5</v>
      </c>
    </row>
    <row r="168" spans="1:2" x14ac:dyDescent="0.3">
      <c r="A168" s="4" t="s">
        <v>44</v>
      </c>
      <c r="B168" s="4">
        <v>3.8</v>
      </c>
    </row>
    <row r="169" spans="1:2" x14ac:dyDescent="0.3">
      <c r="A169" s="4" t="s">
        <v>44</v>
      </c>
      <c r="B169" s="4">
        <v>3.6</v>
      </c>
    </row>
    <row r="170" spans="1:2" x14ac:dyDescent="0.3">
      <c r="A170" s="4" t="s">
        <v>23</v>
      </c>
      <c r="B170" s="4">
        <v>4.4000000000000004</v>
      </c>
    </row>
    <row r="171" spans="1:2" x14ac:dyDescent="0.3">
      <c r="A171" s="4" t="s">
        <v>23</v>
      </c>
      <c r="B171" s="4">
        <v>4</v>
      </c>
    </row>
    <row r="172" spans="1:2" x14ac:dyDescent="0.3">
      <c r="A172" s="4" t="s">
        <v>44</v>
      </c>
      <c r="B172" s="4">
        <v>3.5</v>
      </c>
    </row>
    <row r="173" spans="1:2" x14ac:dyDescent="0.3">
      <c r="A173" s="4" t="s">
        <v>44</v>
      </c>
      <c r="B173" s="4">
        <v>3.6</v>
      </c>
    </row>
    <row r="174" spans="1:2" x14ac:dyDescent="0.3">
      <c r="A174" s="4" t="s">
        <v>23</v>
      </c>
      <c r="B174" s="4">
        <v>3.6</v>
      </c>
    </row>
    <row r="175" spans="1:2" x14ac:dyDescent="0.3">
      <c r="A175" s="4" t="s">
        <v>23</v>
      </c>
      <c r="B175" s="4">
        <v>4.3</v>
      </c>
    </row>
    <row r="176" spans="1:2" x14ac:dyDescent="0.3">
      <c r="A176" s="4" t="s">
        <v>29</v>
      </c>
      <c r="B176" s="4">
        <v>5</v>
      </c>
    </row>
    <row r="177" spans="1:2" x14ac:dyDescent="0.3">
      <c r="A177" s="4" t="s">
        <v>169</v>
      </c>
      <c r="B177" s="4">
        <v>1.6</v>
      </c>
    </row>
    <row r="178" spans="1:2" x14ac:dyDescent="0.3">
      <c r="A178" s="4" t="s">
        <v>261</v>
      </c>
      <c r="B178" s="4">
        <v>3.1</v>
      </c>
    </row>
    <row r="179" spans="1:2" x14ac:dyDescent="0.3">
      <c r="A179" s="4" t="s">
        <v>274</v>
      </c>
      <c r="B179" s="4">
        <v>3.9</v>
      </c>
    </row>
    <row r="180" spans="1:2" x14ac:dyDescent="0.3">
      <c r="A180" s="4" t="s">
        <v>23</v>
      </c>
      <c r="B180" s="4">
        <v>4.3</v>
      </c>
    </row>
    <row r="181" spans="1:2" x14ac:dyDescent="0.3">
      <c r="A181" s="4" t="s">
        <v>23</v>
      </c>
      <c r="B181" s="4">
        <v>4.3</v>
      </c>
    </row>
    <row r="182" spans="1:2" x14ac:dyDescent="0.3">
      <c r="A182" s="4" t="s">
        <v>29</v>
      </c>
      <c r="B182" s="4">
        <v>4</v>
      </c>
    </row>
    <row r="183" spans="1:2" x14ac:dyDescent="0.3">
      <c r="A183" s="4" t="s">
        <v>169</v>
      </c>
      <c r="B183" s="4">
        <v>3.3</v>
      </c>
    </row>
    <row r="184" spans="1:2" x14ac:dyDescent="0.3">
      <c r="A184" s="4" t="s">
        <v>23</v>
      </c>
      <c r="B184" s="4">
        <v>4.3</v>
      </c>
    </row>
    <row r="185" spans="1:2" x14ac:dyDescent="0.3">
      <c r="A185" s="4" t="s">
        <v>23</v>
      </c>
      <c r="B185" s="4">
        <v>4.4000000000000004</v>
      </c>
    </row>
    <row r="186" spans="1:2" x14ac:dyDescent="0.3">
      <c r="A186" s="4" t="s">
        <v>23</v>
      </c>
      <c r="B186" s="4">
        <v>3.9</v>
      </c>
    </row>
    <row r="187" spans="1:2" x14ac:dyDescent="0.3">
      <c r="A187" s="4" t="s">
        <v>29</v>
      </c>
      <c r="B187" s="4">
        <v>4.3</v>
      </c>
    </row>
    <row r="188" spans="1:2" x14ac:dyDescent="0.3">
      <c r="A188" s="4" t="s">
        <v>365</v>
      </c>
      <c r="B188" s="4">
        <v>3.7</v>
      </c>
    </row>
    <row r="189" spans="1:2" x14ac:dyDescent="0.3">
      <c r="A189" s="4" t="s">
        <v>368</v>
      </c>
      <c r="B189" s="4">
        <v>3.3</v>
      </c>
    </row>
    <row r="190" spans="1:2" x14ac:dyDescent="0.3">
      <c r="A190" s="4" t="s">
        <v>23</v>
      </c>
      <c r="B190" s="4">
        <v>4</v>
      </c>
    </row>
    <row r="191" spans="1:2" x14ac:dyDescent="0.3">
      <c r="A191" s="4" t="s">
        <v>23</v>
      </c>
      <c r="B191" s="4">
        <v>4.2</v>
      </c>
    </row>
    <row r="192" spans="1:2" x14ac:dyDescent="0.3">
      <c r="A192" s="4" t="s">
        <v>244</v>
      </c>
      <c r="B192" s="4">
        <v>4</v>
      </c>
    </row>
    <row r="193" spans="1:2" x14ac:dyDescent="0.3">
      <c r="A193" s="4" t="s">
        <v>121</v>
      </c>
      <c r="B193" s="4">
        <v>4</v>
      </c>
    </row>
    <row r="194" spans="1:2" x14ac:dyDescent="0.3">
      <c r="A194" s="4" t="s">
        <v>23</v>
      </c>
      <c r="B194" s="4">
        <v>4</v>
      </c>
    </row>
    <row r="195" spans="1:2" x14ac:dyDescent="0.3">
      <c r="A195" s="4" t="s">
        <v>23</v>
      </c>
      <c r="B195" s="4">
        <v>4.4000000000000004</v>
      </c>
    </row>
    <row r="196" spans="1:2" x14ac:dyDescent="0.3">
      <c r="A196" s="4" t="s">
        <v>44</v>
      </c>
      <c r="B196" s="4">
        <v>3.3</v>
      </c>
    </row>
    <row r="197" spans="1:2" x14ac:dyDescent="0.3">
      <c r="A197" s="4" t="s">
        <v>29</v>
      </c>
      <c r="B197" s="4">
        <v>3.7</v>
      </c>
    </row>
    <row r="198" spans="1:2" x14ac:dyDescent="0.3">
      <c r="A198" s="4" t="s">
        <v>383</v>
      </c>
      <c r="B198" s="4">
        <v>3.6</v>
      </c>
    </row>
    <row r="199" spans="1:2" x14ac:dyDescent="0.3">
      <c r="A199" s="4" t="s">
        <v>386</v>
      </c>
      <c r="B199" s="4">
        <v>4</v>
      </c>
    </row>
    <row r="200" spans="1:2" x14ac:dyDescent="0.3">
      <c r="A200" s="4" t="s">
        <v>23</v>
      </c>
      <c r="B200" s="4">
        <v>4.0999999999999996</v>
      </c>
    </row>
    <row r="201" spans="1:2" x14ac:dyDescent="0.3">
      <c r="A201" s="4" t="s">
        <v>23</v>
      </c>
      <c r="B201" s="4">
        <v>4</v>
      </c>
    </row>
    <row r="202" spans="1:2" x14ac:dyDescent="0.3">
      <c r="A202" s="4" t="s">
        <v>121</v>
      </c>
      <c r="B202" s="4">
        <v>3.5</v>
      </c>
    </row>
    <row r="203" spans="1:2" x14ac:dyDescent="0.3">
      <c r="A203" s="4" t="s">
        <v>261</v>
      </c>
      <c r="B203" s="4">
        <v>4</v>
      </c>
    </row>
    <row r="204" spans="1:2" x14ac:dyDescent="0.3">
      <c r="A204" s="4" t="s">
        <v>23</v>
      </c>
      <c r="B204" s="4">
        <v>4.4000000000000004</v>
      </c>
    </row>
    <row r="205" spans="1:2" x14ac:dyDescent="0.3">
      <c r="A205" s="4" t="s">
        <v>23</v>
      </c>
      <c r="B205" s="4">
        <v>4.3</v>
      </c>
    </row>
    <row r="206" spans="1:2" x14ac:dyDescent="0.3">
      <c r="A206" s="4" t="s">
        <v>57</v>
      </c>
      <c r="B206" s="4">
        <v>4</v>
      </c>
    </row>
    <row r="207" spans="1:2" x14ac:dyDescent="0.3">
      <c r="A207" s="4" t="s">
        <v>29</v>
      </c>
      <c r="B207" s="4">
        <v>3.6</v>
      </c>
    </row>
    <row r="208" spans="1:2" x14ac:dyDescent="0.3">
      <c r="A208" s="4" t="s">
        <v>79</v>
      </c>
      <c r="B208" s="4">
        <v>3.1</v>
      </c>
    </row>
    <row r="209" spans="1:2" x14ac:dyDescent="0.3">
      <c r="A209" s="4" t="s">
        <v>172</v>
      </c>
      <c r="B209" s="4">
        <v>1</v>
      </c>
    </row>
    <row r="210" spans="1:2" x14ac:dyDescent="0.3">
      <c r="A210" s="4" t="s">
        <v>23</v>
      </c>
      <c r="B210" s="4">
        <v>4.4000000000000004</v>
      </c>
    </row>
    <row r="211" spans="1:2" x14ac:dyDescent="0.3">
      <c r="A211" s="4" t="s">
        <v>23</v>
      </c>
      <c r="B211" s="4">
        <v>4</v>
      </c>
    </row>
    <row r="212" spans="1:2" x14ac:dyDescent="0.3">
      <c r="A212" s="4" t="s">
        <v>406</v>
      </c>
      <c r="B212" s="4">
        <v>4</v>
      </c>
    </row>
    <row r="213" spans="1:2" x14ac:dyDescent="0.3">
      <c r="A213" s="4" t="s">
        <v>15</v>
      </c>
      <c r="B213" s="4">
        <v>3.6</v>
      </c>
    </row>
    <row r="214" spans="1:2" x14ac:dyDescent="0.3">
      <c r="A214" s="4" t="s">
        <v>23</v>
      </c>
      <c r="B214" s="4">
        <v>3.6</v>
      </c>
    </row>
    <row r="215" spans="1:2" x14ac:dyDescent="0.3">
      <c r="A215" s="4" t="s">
        <v>23</v>
      </c>
      <c r="B215" s="4">
        <v>4.3</v>
      </c>
    </row>
    <row r="216" spans="1:2" x14ac:dyDescent="0.3">
      <c r="A216" s="4" t="s">
        <v>79</v>
      </c>
      <c r="B216" s="4">
        <v>3.7</v>
      </c>
    </row>
    <row r="217" spans="1:2" x14ac:dyDescent="0.3">
      <c r="A217" s="4" t="s">
        <v>29</v>
      </c>
      <c r="B217" s="4">
        <v>3.5</v>
      </c>
    </row>
    <row r="218" spans="1:2" x14ac:dyDescent="0.3">
      <c r="A218" s="4" t="s">
        <v>261</v>
      </c>
      <c r="B218" s="4">
        <v>3.1</v>
      </c>
    </row>
    <row r="219" spans="1:2" x14ac:dyDescent="0.3">
      <c r="A219" s="4" t="s">
        <v>419</v>
      </c>
      <c r="B219" s="4">
        <v>4.3</v>
      </c>
    </row>
    <row r="220" spans="1:2" x14ac:dyDescent="0.3">
      <c r="A220" s="4" t="s">
        <v>23</v>
      </c>
      <c r="B220" s="4">
        <v>4.3</v>
      </c>
    </row>
    <row r="221" spans="1:2" x14ac:dyDescent="0.3">
      <c r="A221" s="4" t="s">
        <v>23</v>
      </c>
      <c r="B221" s="4">
        <v>4.3</v>
      </c>
    </row>
    <row r="222" spans="1:2" x14ac:dyDescent="0.3">
      <c r="A222" s="4" t="s">
        <v>424</v>
      </c>
      <c r="B222" s="4">
        <v>4</v>
      </c>
    </row>
    <row r="223" spans="1:2" x14ac:dyDescent="0.3">
      <c r="A223" s="4" t="s">
        <v>169</v>
      </c>
      <c r="B223" s="4">
        <v>3.9</v>
      </c>
    </row>
    <row r="224" spans="1:2" x14ac:dyDescent="0.3">
      <c r="A224" s="4" t="s">
        <v>23</v>
      </c>
      <c r="B224" s="4">
        <v>4.3</v>
      </c>
    </row>
    <row r="225" spans="1:2" x14ac:dyDescent="0.3">
      <c r="A225" s="4" t="s">
        <v>23</v>
      </c>
      <c r="B225" s="4">
        <v>4.4000000000000004</v>
      </c>
    </row>
    <row r="226" spans="1:2" x14ac:dyDescent="0.3">
      <c r="A226" s="4" t="s">
        <v>431</v>
      </c>
      <c r="B226" s="4">
        <v>3.2</v>
      </c>
    </row>
    <row r="227" spans="1:2" x14ac:dyDescent="0.3">
      <c r="A227" s="4" t="s">
        <v>434</v>
      </c>
      <c r="B227" s="4">
        <v>4</v>
      </c>
    </row>
    <row r="228" spans="1:2" x14ac:dyDescent="0.3">
      <c r="A228" s="4" t="s">
        <v>29</v>
      </c>
      <c r="B228" s="4">
        <v>3.6</v>
      </c>
    </row>
    <row r="229" spans="1:2" x14ac:dyDescent="0.3">
      <c r="A229" s="4" t="s">
        <v>439</v>
      </c>
      <c r="B229" s="4">
        <v>3.5</v>
      </c>
    </row>
    <row r="230" spans="1:2" x14ac:dyDescent="0.3">
      <c r="A230" s="4" t="s">
        <v>23</v>
      </c>
      <c r="B230" s="4">
        <v>4</v>
      </c>
    </row>
    <row r="231" spans="1:2" x14ac:dyDescent="0.3">
      <c r="A231" s="4" t="s">
        <v>23</v>
      </c>
      <c r="B231" s="4">
        <v>4.2</v>
      </c>
    </row>
    <row r="232" spans="1:2" x14ac:dyDescent="0.3">
      <c r="A232" s="4" t="s">
        <v>444</v>
      </c>
      <c r="B232" s="4">
        <v>3.8</v>
      </c>
    </row>
    <row r="233" spans="1:2" x14ac:dyDescent="0.3">
      <c r="A233" s="4" t="s">
        <v>424</v>
      </c>
      <c r="B233" s="4">
        <v>4</v>
      </c>
    </row>
    <row r="234" spans="1:2" x14ac:dyDescent="0.3">
      <c r="A234" s="4" t="s">
        <v>23</v>
      </c>
      <c r="B234" s="4">
        <v>4</v>
      </c>
    </row>
    <row r="235" spans="1:2" x14ac:dyDescent="0.3">
      <c r="A235" s="4" t="s">
        <v>23</v>
      </c>
      <c r="B235" s="4">
        <v>4.4000000000000004</v>
      </c>
    </row>
    <row r="236" spans="1:2" x14ac:dyDescent="0.3">
      <c r="A236" s="4" t="s">
        <v>172</v>
      </c>
      <c r="B236" s="4">
        <v>4</v>
      </c>
    </row>
    <row r="237" spans="1:2" x14ac:dyDescent="0.3">
      <c r="A237" s="4" t="s">
        <v>274</v>
      </c>
      <c r="B237" s="4">
        <v>3.4</v>
      </c>
    </row>
    <row r="238" spans="1:2" x14ac:dyDescent="0.3">
      <c r="A238" s="4" t="s">
        <v>23</v>
      </c>
      <c r="B238" s="4">
        <v>4.3</v>
      </c>
    </row>
    <row r="239" spans="1:2" x14ac:dyDescent="0.3">
      <c r="A239" s="4" t="s">
        <v>111</v>
      </c>
      <c r="B239" s="4">
        <v>3.1</v>
      </c>
    </row>
    <row r="240" spans="1:2" x14ac:dyDescent="0.3">
      <c r="A240" s="4" t="s">
        <v>23</v>
      </c>
      <c r="B240" s="4">
        <v>4.0999999999999996</v>
      </c>
    </row>
    <row r="241" spans="1:2" x14ac:dyDescent="0.3">
      <c r="A241" s="4" t="s">
        <v>23</v>
      </c>
      <c r="B241" s="4">
        <v>4</v>
      </c>
    </row>
    <row r="242" spans="1:2" x14ac:dyDescent="0.3">
      <c r="A242" s="4" t="s">
        <v>121</v>
      </c>
      <c r="B242" s="4">
        <v>4</v>
      </c>
    </row>
    <row r="243" spans="1:2" x14ac:dyDescent="0.3">
      <c r="A243" s="4" t="s">
        <v>76</v>
      </c>
      <c r="B243" s="4">
        <v>4</v>
      </c>
    </row>
    <row r="244" spans="1:2" x14ac:dyDescent="0.3">
      <c r="A244" s="4" t="s">
        <v>29</v>
      </c>
      <c r="B244" s="4">
        <v>3.5</v>
      </c>
    </row>
    <row r="245" spans="1:2" x14ac:dyDescent="0.3">
      <c r="A245" s="4" t="s">
        <v>23</v>
      </c>
      <c r="B245" s="4">
        <v>4.3</v>
      </c>
    </row>
    <row r="246" spans="1:2" x14ac:dyDescent="0.3">
      <c r="A246" s="4" t="s">
        <v>121</v>
      </c>
      <c r="B246" s="4">
        <v>4</v>
      </c>
    </row>
    <row r="247" spans="1:2" x14ac:dyDescent="0.3">
      <c r="A247" s="4" t="s">
        <v>465</v>
      </c>
      <c r="B247" s="4">
        <v>1.5</v>
      </c>
    </row>
    <row r="248" spans="1:2" x14ac:dyDescent="0.3">
      <c r="A248" s="4" t="s">
        <v>163</v>
      </c>
      <c r="B248" s="4">
        <v>1.8</v>
      </c>
    </row>
    <row r="249" spans="1:2" x14ac:dyDescent="0.3">
      <c r="A249" s="4" t="s">
        <v>121</v>
      </c>
      <c r="B249" s="4">
        <v>4</v>
      </c>
    </row>
    <row r="250" spans="1:2" x14ac:dyDescent="0.3">
      <c r="A250" s="4" t="s">
        <v>23</v>
      </c>
      <c r="B250" s="4">
        <v>4.4000000000000004</v>
      </c>
    </row>
    <row r="251" spans="1:2" x14ac:dyDescent="0.3">
      <c r="A251" s="4" t="s">
        <v>23</v>
      </c>
      <c r="B251" s="4">
        <v>4</v>
      </c>
    </row>
    <row r="252" spans="1:2" x14ac:dyDescent="0.3">
      <c r="A252" s="4" t="s">
        <v>471</v>
      </c>
      <c r="B252" s="4">
        <v>2.8</v>
      </c>
    </row>
    <row r="253" spans="1:2" x14ac:dyDescent="0.3">
      <c r="A253" s="4" t="s">
        <v>474</v>
      </c>
      <c r="B253" s="4">
        <v>4</v>
      </c>
    </row>
    <row r="254" spans="1:2" x14ac:dyDescent="0.3">
      <c r="A254" s="4" t="s">
        <v>23</v>
      </c>
      <c r="B254" s="4">
        <v>3.6</v>
      </c>
    </row>
    <row r="255" spans="1:2" x14ac:dyDescent="0.3">
      <c r="A255" s="4" t="s">
        <v>23</v>
      </c>
      <c r="B255" s="4">
        <v>4.3</v>
      </c>
    </row>
    <row r="256" spans="1:2" x14ac:dyDescent="0.3">
      <c r="A256" s="4" t="s">
        <v>72</v>
      </c>
      <c r="B256" s="4">
        <v>3.7</v>
      </c>
    </row>
    <row r="257" spans="1:2" x14ac:dyDescent="0.3">
      <c r="A257" s="4" t="s">
        <v>76</v>
      </c>
      <c r="B257" s="4">
        <v>2.5</v>
      </c>
    </row>
    <row r="258" spans="1:2" x14ac:dyDescent="0.3">
      <c r="A258" s="4" t="s">
        <v>44</v>
      </c>
      <c r="B258" s="4">
        <v>4</v>
      </c>
    </row>
    <row r="259" spans="1:2" x14ac:dyDescent="0.3">
      <c r="A259" s="4" t="s">
        <v>121</v>
      </c>
      <c r="B259" s="4">
        <v>4</v>
      </c>
    </row>
    <row r="260" spans="1:2" x14ac:dyDescent="0.3">
      <c r="A260" s="4" t="s">
        <v>23</v>
      </c>
      <c r="B260" s="4">
        <v>4.3</v>
      </c>
    </row>
    <row r="261" spans="1:2" x14ac:dyDescent="0.3">
      <c r="A261" s="4" t="s">
        <v>23</v>
      </c>
      <c r="B261" s="4">
        <v>4.3</v>
      </c>
    </row>
    <row r="262" spans="1:2" x14ac:dyDescent="0.3">
      <c r="A262" s="4" t="s">
        <v>121</v>
      </c>
      <c r="B262" s="4">
        <v>4</v>
      </c>
    </row>
    <row r="263" spans="1:2" x14ac:dyDescent="0.3">
      <c r="A263" s="4" t="s">
        <v>121</v>
      </c>
      <c r="B263" s="4">
        <v>4</v>
      </c>
    </row>
    <row r="264" spans="1:2" x14ac:dyDescent="0.3">
      <c r="A264" s="4" t="s">
        <v>23</v>
      </c>
      <c r="B264" s="4">
        <v>4.3</v>
      </c>
    </row>
    <row r="265" spans="1:2" x14ac:dyDescent="0.3">
      <c r="A265" s="4" t="s">
        <v>23</v>
      </c>
      <c r="B265" s="4">
        <v>4</v>
      </c>
    </row>
    <row r="266" spans="1:2" x14ac:dyDescent="0.3">
      <c r="A266" s="4" t="s">
        <v>23</v>
      </c>
      <c r="B266" s="4">
        <v>4.3</v>
      </c>
    </row>
    <row r="267" spans="1:2" x14ac:dyDescent="0.3">
      <c r="A267" s="4" t="s">
        <v>493</v>
      </c>
      <c r="B267" s="4">
        <v>1.8</v>
      </c>
    </row>
    <row r="268" spans="1:2" x14ac:dyDescent="0.3">
      <c r="A268" s="4" t="s">
        <v>29</v>
      </c>
      <c r="B268" s="4">
        <v>3.3</v>
      </c>
    </row>
    <row r="269" spans="1:2" x14ac:dyDescent="0.3">
      <c r="A269" s="4" t="s">
        <v>498</v>
      </c>
      <c r="B269" s="4">
        <v>4.2</v>
      </c>
    </row>
    <row r="270" spans="1:2" x14ac:dyDescent="0.3">
      <c r="A270" s="4" t="s">
        <v>23</v>
      </c>
      <c r="B270" s="4">
        <v>4</v>
      </c>
    </row>
    <row r="271" spans="1:2" x14ac:dyDescent="0.3">
      <c r="A271" s="4" t="s">
        <v>23</v>
      </c>
      <c r="B271" s="4">
        <v>4.2</v>
      </c>
    </row>
    <row r="272" spans="1:2" x14ac:dyDescent="0.3">
      <c r="A272" s="4" t="s">
        <v>29</v>
      </c>
      <c r="B272" s="4">
        <v>1.3</v>
      </c>
    </row>
    <row r="273" spans="1:2" x14ac:dyDescent="0.3">
      <c r="A273" s="4" t="s">
        <v>72</v>
      </c>
      <c r="B273" s="4">
        <v>3.2</v>
      </c>
    </row>
    <row r="274" spans="1:2" x14ac:dyDescent="0.3">
      <c r="A274" s="4" t="s">
        <v>23</v>
      </c>
      <c r="B274" s="4">
        <v>4</v>
      </c>
    </row>
    <row r="275" spans="1:2" x14ac:dyDescent="0.3">
      <c r="A275" s="4" t="s">
        <v>23</v>
      </c>
      <c r="B275" s="4">
        <v>4.4000000000000004</v>
      </c>
    </row>
    <row r="276" spans="1:2" x14ac:dyDescent="0.3">
      <c r="A276" s="4" t="s">
        <v>298</v>
      </c>
      <c r="B276" s="4">
        <v>3.1</v>
      </c>
    </row>
    <row r="277" spans="1:2" x14ac:dyDescent="0.3">
      <c r="A277" s="4" t="s">
        <v>29</v>
      </c>
      <c r="B277" s="4">
        <v>4</v>
      </c>
    </row>
    <row r="278" spans="1:2" x14ac:dyDescent="0.3">
      <c r="A278" s="4" t="s">
        <v>444</v>
      </c>
      <c r="B278" s="4">
        <v>3.2</v>
      </c>
    </row>
    <row r="279" spans="1:2" x14ac:dyDescent="0.3">
      <c r="A279" s="4" t="s">
        <v>29</v>
      </c>
      <c r="B279" s="4">
        <v>3.1</v>
      </c>
    </row>
    <row r="280" spans="1:2" x14ac:dyDescent="0.3">
      <c r="A280" s="4" t="s">
        <v>23</v>
      </c>
      <c r="B280" s="4">
        <v>4.0999999999999996</v>
      </c>
    </row>
    <row r="281" spans="1:2" x14ac:dyDescent="0.3">
      <c r="A281" s="4" t="s">
        <v>23</v>
      </c>
      <c r="B281" s="4">
        <v>4</v>
      </c>
    </row>
    <row r="282" spans="1:2" x14ac:dyDescent="0.3">
      <c r="A282" s="4" t="s">
        <v>518</v>
      </c>
      <c r="B282" s="4">
        <v>1.8</v>
      </c>
    </row>
    <row r="283" spans="1:2" x14ac:dyDescent="0.3">
      <c r="A283" s="4" t="s">
        <v>35</v>
      </c>
      <c r="B283" s="4">
        <v>3.4</v>
      </c>
    </row>
    <row r="284" spans="1:2" x14ac:dyDescent="0.3">
      <c r="A284" s="4" t="s">
        <v>522</v>
      </c>
      <c r="B284" s="4">
        <v>4.5</v>
      </c>
    </row>
    <row r="285" spans="1:2" x14ac:dyDescent="0.3">
      <c r="A285" s="4" t="s">
        <v>23</v>
      </c>
      <c r="B285" s="4">
        <v>4.3</v>
      </c>
    </row>
    <row r="286" spans="1:2" x14ac:dyDescent="0.3">
      <c r="A286" s="4" t="s">
        <v>230</v>
      </c>
      <c r="B286" s="4">
        <v>3.4</v>
      </c>
    </row>
    <row r="287" spans="1:2" x14ac:dyDescent="0.3">
      <c r="A287" s="4" t="s">
        <v>23</v>
      </c>
      <c r="B287" s="4">
        <v>4.3</v>
      </c>
    </row>
    <row r="288" spans="1:2" x14ac:dyDescent="0.3">
      <c r="A288" s="4" t="s">
        <v>44</v>
      </c>
      <c r="B288" s="4">
        <v>3.3</v>
      </c>
    </row>
    <row r="289" spans="1:2" x14ac:dyDescent="0.3">
      <c r="A289" s="4" t="s">
        <v>44</v>
      </c>
      <c r="B289" s="4">
        <v>3.4</v>
      </c>
    </row>
    <row r="290" spans="1:2" x14ac:dyDescent="0.3">
      <c r="A290" s="4" t="s">
        <v>23</v>
      </c>
      <c r="B290" s="4">
        <v>4.4000000000000004</v>
      </c>
    </row>
    <row r="291" spans="1:2" x14ac:dyDescent="0.3">
      <c r="A291" s="4" t="s">
        <v>23</v>
      </c>
      <c r="B291" s="4">
        <v>4</v>
      </c>
    </row>
    <row r="292" spans="1:2" x14ac:dyDescent="0.3">
      <c r="A292" s="4" t="s">
        <v>312</v>
      </c>
      <c r="B292" s="4">
        <v>4</v>
      </c>
    </row>
    <row r="293" spans="1:2" x14ac:dyDescent="0.3">
      <c r="A293" s="4" t="s">
        <v>121</v>
      </c>
      <c r="B293" s="4">
        <v>4</v>
      </c>
    </row>
    <row r="294" spans="1:2" x14ac:dyDescent="0.3">
      <c r="A294" s="4" t="s">
        <v>23</v>
      </c>
      <c r="B294" s="4">
        <v>3.6</v>
      </c>
    </row>
    <row r="295" spans="1:2" x14ac:dyDescent="0.3">
      <c r="A295" s="4" t="s">
        <v>23</v>
      </c>
      <c r="B295" s="4">
        <v>4.3</v>
      </c>
    </row>
    <row r="296" spans="1:2" x14ac:dyDescent="0.3">
      <c r="A296" s="4" t="s">
        <v>121</v>
      </c>
      <c r="B296" s="4">
        <v>4</v>
      </c>
    </row>
    <row r="297" spans="1:2" x14ac:dyDescent="0.3">
      <c r="A297" s="4" t="s">
        <v>29</v>
      </c>
      <c r="B297" s="4">
        <v>4</v>
      </c>
    </row>
    <row r="298" spans="1:2" x14ac:dyDescent="0.3">
      <c r="A298" s="4" t="s">
        <v>29</v>
      </c>
      <c r="B298" s="4">
        <v>3.7</v>
      </c>
    </row>
    <row r="299" spans="1:2" x14ac:dyDescent="0.3">
      <c r="A299" s="4" t="s">
        <v>29</v>
      </c>
      <c r="B299" s="4">
        <v>2.1</v>
      </c>
    </row>
    <row r="300" spans="1:2" x14ac:dyDescent="0.3">
      <c r="A300" s="4" t="s">
        <v>23</v>
      </c>
      <c r="B300" s="4">
        <v>4.3</v>
      </c>
    </row>
    <row r="301" spans="1:2" x14ac:dyDescent="0.3">
      <c r="A301" s="4" t="s">
        <v>23</v>
      </c>
      <c r="B301" s="4">
        <v>4.3</v>
      </c>
    </row>
    <row r="302" spans="1:2" x14ac:dyDescent="0.3">
      <c r="A302" s="4" t="s">
        <v>121</v>
      </c>
      <c r="B302" s="4">
        <v>3.3</v>
      </c>
    </row>
    <row r="303" spans="1:2" x14ac:dyDescent="0.3">
      <c r="A303" s="4" t="s">
        <v>29</v>
      </c>
      <c r="B303" s="4">
        <v>3.3</v>
      </c>
    </row>
    <row r="304" spans="1:2" x14ac:dyDescent="0.3">
      <c r="A304" s="4" t="s">
        <v>23</v>
      </c>
      <c r="B304" s="4">
        <v>4.3</v>
      </c>
    </row>
    <row r="305" spans="1:2" x14ac:dyDescent="0.3">
      <c r="A305" s="4" t="s">
        <v>23</v>
      </c>
      <c r="B305" s="4">
        <v>4.4000000000000004</v>
      </c>
    </row>
    <row r="306" spans="1:2" x14ac:dyDescent="0.3">
      <c r="A306" s="4" t="s">
        <v>44</v>
      </c>
      <c r="B306" s="4">
        <v>3.4</v>
      </c>
    </row>
    <row r="307" spans="1:2" x14ac:dyDescent="0.3">
      <c r="A307" s="4" t="s">
        <v>44</v>
      </c>
      <c r="B307" s="4">
        <v>4</v>
      </c>
    </row>
    <row r="308" spans="1:2" x14ac:dyDescent="0.3">
      <c r="A308" s="4" t="s">
        <v>121</v>
      </c>
      <c r="B308" s="4">
        <v>4</v>
      </c>
    </row>
    <row r="309" spans="1:2" x14ac:dyDescent="0.3">
      <c r="A309" s="4" t="s">
        <v>121</v>
      </c>
      <c r="B309" s="4">
        <v>4</v>
      </c>
    </row>
    <row r="310" spans="1:2" x14ac:dyDescent="0.3">
      <c r="A310" s="4" t="s">
        <v>23</v>
      </c>
      <c r="B310" s="4">
        <v>4</v>
      </c>
    </row>
    <row r="311" spans="1:2" x14ac:dyDescent="0.3">
      <c r="A311" s="4" t="s">
        <v>23</v>
      </c>
      <c r="B311" s="4">
        <v>4.2</v>
      </c>
    </row>
    <row r="312" spans="1:2" x14ac:dyDescent="0.3">
      <c r="A312" s="4" t="s">
        <v>121</v>
      </c>
      <c r="B312" s="4">
        <v>4</v>
      </c>
    </row>
    <row r="313" spans="1:2" x14ac:dyDescent="0.3">
      <c r="A313" s="4" t="s">
        <v>121</v>
      </c>
      <c r="B313" s="4">
        <v>4</v>
      </c>
    </row>
    <row r="314" spans="1:2" x14ac:dyDescent="0.3">
      <c r="A314" s="4" t="s">
        <v>23</v>
      </c>
      <c r="B314" s="4">
        <v>4</v>
      </c>
    </row>
    <row r="315" spans="1:2" x14ac:dyDescent="0.3">
      <c r="A315" s="4" t="s">
        <v>23</v>
      </c>
      <c r="B315" s="4">
        <v>4.4000000000000004</v>
      </c>
    </row>
    <row r="316" spans="1:2" x14ac:dyDescent="0.3">
      <c r="A316" s="4" t="s">
        <v>121</v>
      </c>
      <c r="B316" s="4">
        <v>4</v>
      </c>
    </row>
    <row r="317" spans="1:2" x14ac:dyDescent="0.3">
      <c r="A317" s="4" t="s">
        <v>121</v>
      </c>
      <c r="B317" s="4">
        <v>4</v>
      </c>
    </row>
    <row r="318" spans="1:2" x14ac:dyDescent="0.3">
      <c r="A318" s="4" t="s">
        <v>121</v>
      </c>
      <c r="B318" s="4">
        <v>4</v>
      </c>
    </row>
    <row r="319" spans="1:2" x14ac:dyDescent="0.3">
      <c r="A319" s="4" t="s">
        <v>121</v>
      </c>
      <c r="B319" s="4">
        <v>4</v>
      </c>
    </row>
    <row r="320" spans="1:2" x14ac:dyDescent="0.3">
      <c r="A320" s="4" t="s">
        <v>23</v>
      </c>
      <c r="B320" s="4">
        <v>4.0999999999999996</v>
      </c>
    </row>
    <row r="321" spans="1:2" x14ac:dyDescent="0.3">
      <c r="A321" s="4" t="s">
        <v>23</v>
      </c>
      <c r="B321" s="4">
        <v>4</v>
      </c>
    </row>
    <row r="322" spans="1:2" x14ac:dyDescent="0.3">
      <c r="A322" s="4" t="s">
        <v>29</v>
      </c>
      <c r="B322" s="4">
        <v>4</v>
      </c>
    </row>
    <row r="323" spans="1:2" x14ac:dyDescent="0.3">
      <c r="A323" s="4" t="s">
        <v>44</v>
      </c>
      <c r="B323" s="4">
        <v>4</v>
      </c>
    </row>
    <row r="324" spans="1:2" x14ac:dyDescent="0.3">
      <c r="A324" s="4" t="s">
        <v>72</v>
      </c>
      <c r="B324" s="4">
        <v>3.4</v>
      </c>
    </row>
    <row r="325" spans="1:2" x14ac:dyDescent="0.3">
      <c r="A325" s="4" t="s">
        <v>23</v>
      </c>
      <c r="B325" s="4">
        <v>4.3</v>
      </c>
    </row>
    <row r="326" spans="1:2" x14ac:dyDescent="0.3">
      <c r="A326" s="4" t="s">
        <v>79</v>
      </c>
      <c r="B326" s="4">
        <v>3.6</v>
      </c>
    </row>
    <row r="327" spans="1:2" x14ac:dyDescent="0.3">
      <c r="A327" s="4" t="s">
        <v>121</v>
      </c>
      <c r="B327" s="4">
        <v>4</v>
      </c>
    </row>
    <row r="328" spans="1:2" x14ac:dyDescent="0.3">
      <c r="A328" s="4" t="s">
        <v>44</v>
      </c>
      <c r="B328" s="4">
        <v>4</v>
      </c>
    </row>
    <row r="329" spans="1:2" x14ac:dyDescent="0.3">
      <c r="A329" s="4" t="s">
        <v>121</v>
      </c>
      <c r="B329" s="4">
        <v>4</v>
      </c>
    </row>
    <row r="330" spans="1:2" x14ac:dyDescent="0.3">
      <c r="A330" s="4" t="s">
        <v>23</v>
      </c>
      <c r="B330" s="4">
        <v>4.4000000000000004</v>
      </c>
    </row>
    <row r="331" spans="1:2" x14ac:dyDescent="0.3">
      <c r="A331" s="4" t="s">
        <v>23</v>
      </c>
      <c r="B331" s="4">
        <v>4</v>
      </c>
    </row>
    <row r="332" spans="1:2" x14ac:dyDescent="0.3">
      <c r="A332" s="4" t="s">
        <v>44</v>
      </c>
      <c r="B332" s="4">
        <v>4</v>
      </c>
    </row>
    <row r="333" spans="1:2" x14ac:dyDescent="0.3">
      <c r="A333" s="4" t="s">
        <v>121</v>
      </c>
      <c r="B333" s="4">
        <v>4</v>
      </c>
    </row>
    <row r="334" spans="1:2" x14ac:dyDescent="0.3">
      <c r="A334" s="4" t="s">
        <v>23</v>
      </c>
      <c r="B334" s="4">
        <v>3.6</v>
      </c>
    </row>
    <row r="335" spans="1:2" x14ac:dyDescent="0.3">
      <c r="A335" s="4" t="s">
        <v>23</v>
      </c>
      <c r="B335" s="4">
        <v>4.3</v>
      </c>
    </row>
    <row r="336" spans="1:2" x14ac:dyDescent="0.3">
      <c r="A336" s="4" t="s">
        <v>121</v>
      </c>
      <c r="B336" s="4">
        <v>4</v>
      </c>
    </row>
    <row r="337" spans="1:2" x14ac:dyDescent="0.3">
      <c r="A337" s="4" t="s">
        <v>29</v>
      </c>
      <c r="B337" s="4">
        <v>3.4</v>
      </c>
    </row>
    <row r="338" spans="1:2" x14ac:dyDescent="0.3">
      <c r="A338" s="4" t="s">
        <v>44</v>
      </c>
      <c r="B338" s="4">
        <v>1.1000000000000001</v>
      </c>
    </row>
    <row r="339" spans="1:2" x14ac:dyDescent="0.3">
      <c r="A339" s="4" t="s">
        <v>29</v>
      </c>
      <c r="B339" s="4">
        <v>4</v>
      </c>
    </row>
    <row r="340" spans="1:2" x14ac:dyDescent="0.3">
      <c r="A340" s="4" t="s">
        <v>23</v>
      </c>
      <c r="B340" s="4">
        <v>4.3</v>
      </c>
    </row>
    <row r="341" spans="1:2" x14ac:dyDescent="0.3">
      <c r="A341" s="4" t="s">
        <v>23</v>
      </c>
      <c r="B341" s="4">
        <v>4.3</v>
      </c>
    </row>
    <row r="342" spans="1:2" x14ac:dyDescent="0.3">
      <c r="A342" s="4" t="s">
        <v>79</v>
      </c>
      <c r="B342" s="4">
        <v>3.6</v>
      </c>
    </row>
    <row r="343" spans="1:2" x14ac:dyDescent="0.3">
      <c r="A343" s="4" t="s">
        <v>121</v>
      </c>
      <c r="B343" s="4">
        <v>2.5</v>
      </c>
    </row>
    <row r="344" spans="1:2" x14ac:dyDescent="0.3">
      <c r="A344" s="4" t="s">
        <v>23</v>
      </c>
      <c r="B344" s="4">
        <v>4.3</v>
      </c>
    </row>
    <row r="345" spans="1:2" x14ac:dyDescent="0.3">
      <c r="A345" s="4" t="s">
        <v>23</v>
      </c>
      <c r="B345" s="4">
        <v>4.4000000000000004</v>
      </c>
    </row>
    <row r="346" spans="1:2" x14ac:dyDescent="0.3">
      <c r="A346" s="4" t="s">
        <v>121</v>
      </c>
      <c r="B346" s="4">
        <v>2.4</v>
      </c>
    </row>
    <row r="347" spans="1:2" x14ac:dyDescent="0.3">
      <c r="A347" s="4" t="s">
        <v>121</v>
      </c>
      <c r="B347" s="4">
        <v>3.5</v>
      </c>
    </row>
    <row r="348" spans="1:2" x14ac:dyDescent="0.3">
      <c r="A348" s="4" t="s">
        <v>600</v>
      </c>
      <c r="B348" s="4">
        <v>3.6</v>
      </c>
    </row>
    <row r="349" spans="1:2" x14ac:dyDescent="0.3">
      <c r="A349" s="4" t="s">
        <v>29</v>
      </c>
      <c r="B349" s="4">
        <v>4</v>
      </c>
    </row>
    <row r="350" spans="1:2" x14ac:dyDescent="0.3">
      <c r="A350" s="4" t="s">
        <v>23</v>
      </c>
      <c r="B350" s="4">
        <v>4</v>
      </c>
    </row>
    <row r="351" spans="1:2" x14ac:dyDescent="0.3">
      <c r="A351" s="4" t="s">
        <v>23</v>
      </c>
      <c r="B351" s="4">
        <v>4.2</v>
      </c>
    </row>
    <row r="352" spans="1:2" x14ac:dyDescent="0.3">
      <c r="A352" s="4" t="s">
        <v>29</v>
      </c>
      <c r="B352" s="4">
        <v>4</v>
      </c>
    </row>
    <row r="353" spans="1:2" x14ac:dyDescent="0.3">
      <c r="A353" s="4" t="s">
        <v>29</v>
      </c>
      <c r="B353" s="4">
        <v>4</v>
      </c>
    </row>
    <row r="354" spans="1:2" x14ac:dyDescent="0.3">
      <c r="A354" s="4" t="s">
        <v>23</v>
      </c>
      <c r="B354" s="4">
        <v>4</v>
      </c>
    </row>
    <row r="355" spans="1:2" x14ac:dyDescent="0.3">
      <c r="A355" s="4" t="s">
        <v>23</v>
      </c>
      <c r="B355" s="4">
        <v>4.4000000000000004</v>
      </c>
    </row>
    <row r="356" spans="1:2" x14ac:dyDescent="0.3">
      <c r="A356" s="4" t="s">
        <v>613</v>
      </c>
      <c r="B356" s="4">
        <v>4.2</v>
      </c>
    </row>
    <row r="357" spans="1:2" x14ac:dyDescent="0.3">
      <c r="A357" s="4" t="s">
        <v>29</v>
      </c>
      <c r="B357" s="4">
        <v>1.8</v>
      </c>
    </row>
    <row r="358" spans="1:2" x14ac:dyDescent="0.3">
      <c r="A358" s="4" t="s">
        <v>618</v>
      </c>
      <c r="B358" s="4">
        <v>4</v>
      </c>
    </row>
    <row r="359" spans="1:2" x14ac:dyDescent="0.3">
      <c r="A359" s="4" t="s">
        <v>29</v>
      </c>
      <c r="B359" s="4">
        <v>1.7</v>
      </c>
    </row>
    <row r="360" spans="1:2" x14ac:dyDescent="0.3">
      <c r="A360" s="4" t="s">
        <v>23</v>
      </c>
      <c r="B360" s="4">
        <v>4.0999999999999996</v>
      </c>
    </row>
    <row r="361" spans="1:2" x14ac:dyDescent="0.3">
      <c r="A361" s="4" t="s">
        <v>23</v>
      </c>
      <c r="B361" s="4">
        <v>4</v>
      </c>
    </row>
    <row r="362" spans="1:2" x14ac:dyDescent="0.3">
      <c r="A362" s="4" t="s">
        <v>121</v>
      </c>
      <c r="B362" s="4">
        <v>3.5</v>
      </c>
    </row>
    <row r="363" spans="1:2" x14ac:dyDescent="0.3">
      <c r="A363" s="4" t="s">
        <v>15</v>
      </c>
      <c r="B363" s="4">
        <v>3.6</v>
      </c>
    </row>
    <row r="364" spans="1:2" x14ac:dyDescent="0.3">
      <c r="A364" s="4" t="s">
        <v>23</v>
      </c>
      <c r="B364" s="4">
        <v>4.3</v>
      </c>
    </row>
    <row r="365" spans="1:2" x14ac:dyDescent="0.3">
      <c r="A365" s="4" t="s">
        <v>23</v>
      </c>
      <c r="B365" s="4">
        <v>4.4000000000000004</v>
      </c>
    </row>
    <row r="366" spans="1:2" x14ac:dyDescent="0.3">
      <c r="A366" s="4" t="s">
        <v>29</v>
      </c>
      <c r="B366" s="4">
        <v>3.1</v>
      </c>
    </row>
    <row r="367" spans="1:2" x14ac:dyDescent="0.3">
      <c r="A367" s="4" t="s">
        <v>434</v>
      </c>
      <c r="B367" s="4">
        <v>4</v>
      </c>
    </row>
    <row r="368" spans="1:2" x14ac:dyDescent="0.3">
      <c r="A368" s="4" t="s">
        <v>29</v>
      </c>
      <c r="B368" s="4">
        <v>3.1</v>
      </c>
    </row>
    <row r="369" spans="1:2" x14ac:dyDescent="0.3">
      <c r="A369" s="4" t="s">
        <v>29</v>
      </c>
      <c r="B369" s="4">
        <v>3.7</v>
      </c>
    </row>
    <row r="370" spans="1:2" x14ac:dyDescent="0.3">
      <c r="A370" s="4" t="s">
        <v>23</v>
      </c>
      <c r="B370" s="4">
        <v>4</v>
      </c>
    </row>
    <row r="371" spans="1:2" x14ac:dyDescent="0.3">
      <c r="A371" s="4" t="s">
        <v>23</v>
      </c>
      <c r="B371" s="4">
        <v>3.6</v>
      </c>
    </row>
    <row r="372" spans="1:2" x14ac:dyDescent="0.3">
      <c r="A372" s="4" t="s">
        <v>29</v>
      </c>
      <c r="B372" s="4">
        <v>3.3</v>
      </c>
    </row>
    <row r="373" spans="1:2" x14ac:dyDescent="0.3">
      <c r="A373" s="4" t="s">
        <v>29</v>
      </c>
      <c r="B373" s="4">
        <v>4</v>
      </c>
    </row>
    <row r="374" spans="1:2" x14ac:dyDescent="0.3">
      <c r="A374" s="4" t="s">
        <v>23</v>
      </c>
      <c r="B374" s="4">
        <v>4.3</v>
      </c>
    </row>
    <row r="375" spans="1:2" x14ac:dyDescent="0.3">
      <c r="A375" s="4" t="s">
        <v>23</v>
      </c>
      <c r="B375" s="4">
        <v>4.3</v>
      </c>
    </row>
    <row r="376" spans="1:2" x14ac:dyDescent="0.3">
      <c r="A376" s="4" t="s">
        <v>419</v>
      </c>
      <c r="B376" s="4">
        <v>4.4000000000000004</v>
      </c>
    </row>
    <row r="377" spans="1:2" x14ac:dyDescent="0.3">
      <c r="A377" s="4" t="s">
        <v>439</v>
      </c>
      <c r="B377" s="4">
        <v>3.5</v>
      </c>
    </row>
    <row r="378" spans="1:2" x14ac:dyDescent="0.3">
      <c r="A378" s="4" t="s">
        <v>642</v>
      </c>
      <c r="B378" s="4">
        <v>3.4</v>
      </c>
    </row>
    <row r="379" spans="1:2" x14ac:dyDescent="0.3">
      <c r="A379" s="4" t="s">
        <v>29</v>
      </c>
      <c r="B379" s="4">
        <v>4.3</v>
      </c>
    </row>
    <row r="380" spans="1:2" x14ac:dyDescent="0.3">
      <c r="A380" s="4" t="s">
        <v>23</v>
      </c>
      <c r="B380" s="4">
        <v>4.3</v>
      </c>
    </row>
    <row r="381" spans="1:2" x14ac:dyDescent="0.3">
      <c r="A381" s="4" t="s">
        <v>23</v>
      </c>
      <c r="B381" s="4">
        <v>4.3</v>
      </c>
    </row>
    <row r="382" spans="1:2" x14ac:dyDescent="0.3">
      <c r="A382" s="4" t="s">
        <v>253</v>
      </c>
      <c r="B382" s="4">
        <v>3.3</v>
      </c>
    </row>
    <row r="383" spans="1:2" x14ac:dyDescent="0.3">
      <c r="A383" s="4" t="s">
        <v>121</v>
      </c>
      <c r="B383" s="4">
        <v>4</v>
      </c>
    </row>
    <row r="384" spans="1:2" x14ac:dyDescent="0.3">
      <c r="A384" s="4" t="s">
        <v>23</v>
      </c>
      <c r="B384" s="4">
        <v>4.4000000000000004</v>
      </c>
    </row>
    <row r="385" spans="1:2" x14ac:dyDescent="0.3">
      <c r="A385" s="4" t="s">
        <v>23</v>
      </c>
      <c r="B385" s="4">
        <v>4</v>
      </c>
    </row>
    <row r="386" spans="1:2" x14ac:dyDescent="0.3">
      <c r="A386" s="4" t="s">
        <v>79</v>
      </c>
      <c r="B386" s="4">
        <v>3.3</v>
      </c>
    </row>
    <row r="387" spans="1:2" x14ac:dyDescent="0.3">
      <c r="A387" s="4" t="s">
        <v>121</v>
      </c>
      <c r="B387" s="4">
        <v>3.3</v>
      </c>
    </row>
    <row r="388" spans="1:2" x14ac:dyDescent="0.3">
      <c r="A388" s="4" t="s">
        <v>656</v>
      </c>
      <c r="B388" s="4">
        <v>4</v>
      </c>
    </row>
    <row r="389" spans="1:2" x14ac:dyDescent="0.3">
      <c r="A389" s="4" t="s">
        <v>115</v>
      </c>
      <c r="B389" s="4">
        <v>3.4</v>
      </c>
    </row>
    <row r="390" spans="1:2" x14ac:dyDescent="0.3">
      <c r="A390" s="4" t="s">
        <v>23</v>
      </c>
      <c r="B390" s="4">
        <v>4.2</v>
      </c>
    </row>
    <row r="391" spans="1:2" x14ac:dyDescent="0.3">
      <c r="A391" s="4" t="s">
        <v>23</v>
      </c>
      <c r="B391" s="4">
        <v>4</v>
      </c>
    </row>
    <row r="392" spans="1:2" x14ac:dyDescent="0.3">
      <c r="A392" s="4" t="s">
        <v>29</v>
      </c>
      <c r="B392" s="4">
        <v>3.4</v>
      </c>
    </row>
    <row r="393" spans="1:2" x14ac:dyDescent="0.3">
      <c r="A393" s="4" t="s">
        <v>44</v>
      </c>
      <c r="B393" s="4">
        <v>2.6</v>
      </c>
    </row>
    <row r="394" spans="1:2" x14ac:dyDescent="0.3">
      <c r="A394" s="4" t="s">
        <v>424</v>
      </c>
      <c r="B394" s="4">
        <v>4</v>
      </c>
    </row>
    <row r="395" spans="1:2" x14ac:dyDescent="0.3">
      <c r="A395" s="4" t="s">
        <v>15</v>
      </c>
      <c r="B395" s="4">
        <v>3.8</v>
      </c>
    </row>
    <row r="396" spans="1:2" x14ac:dyDescent="0.3">
      <c r="A396" s="4" t="s">
        <v>23</v>
      </c>
      <c r="B396" s="4">
        <v>4.4000000000000004</v>
      </c>
    </row>
    <row r="397" spans="1:2" x14ac:dyDescent="0.3">
      <c r="A397" s="4" t="s">
        <v>274</v>
      </c>
      <c r="B397" s="4">
        <v>3.4</v>
      </c>
    </row>
    <row r="398" spans="1:2" x14ac:dyDescent="0.3">
      <c r="A398" s="4" t="s">
        <v>79</v>
      </c>
      <c r="B398" s="4">
        <v>3.5</v>
      </c>
    </row>
    <row r="399" spans="1:2" x14ac:dyDescent="0.3">
      <c r="A399" s="4" t="s">
        <v>671</v>
      </c>
      <c r="B399" s="4">
        <v>3.5</v>
      </c>
    </row>
    <row r="400" spans="1:2" x14ac:dyDescent="0.3">
      <c r="A400" s="4" t="s">
        <v>23</v>
      </c>
      <c r="B400" s="4">
        <v>4.0999999999999996</v>
      </c>
    </row>
    <row r="401" spans="1:2" x14ac:dyDescent="0.3">
      <c r="A401" s="4" t="s">
        <v>23</v>
      </c>
      <c r="B401" s="4">
        <v>4</v>
      </c>
    </row>
    <row r="402" spans="1:2" x14ac:dyDescent="0.3">
      <c r="A402" s="4" t="s">
        <v>121</v>
      </c>
      <c r="B402" s="4">
        <v>3.5</v>
      </c>
    </row>
    <row r="403" spans="1:2" x14ac:dyDescent="0.3">
      <c r="A403" s="4" t="s">
        <v>15</v>
      </c>
      <c r="B403" s="4">
        <v>3.6</v>
      </c>
    </row>
    <row r="404" spans="1:2" x14ac:dyDescent="0.3">
      <c r="A404" s="4" t="s">
        <v>23</v>
      </c>
      <c r="B404" s="4">
        <v>4.3</v>
      </c>
    </row>
    <row r="405" spans="1:2" x14ac:dyDescent="0.3">
      <c r="A405" s="4" t="s">
        <v>23</v>
      </c>
      <c r="B405" s="4">
        <v>4.4000000000000004</v>
      </c>
    </row>
    <row r="406" spans="1:2" x14ac:dyDescent="0.3">
      <c r="A406" s="4" t="s">
        <v>29</v>
      </c>
      <c r="B406" s="4">
        <v>3.1</v>
      </c>
    </row>
    <row r="407" spans="1:2" x14ac:dyDescent="0.3">
      <c r="A407" s="4" t="s">
        <v>406</v>
      </c>
      <c r="B407" s="4">
        <v>4</v>
      </c>
    </row>
    <row r="408" spans="1:2" x14ac:dyDescent="0.3">
      <c r="A408" s="4" t="s">
        <v>29</v>
      </c>
      <c r="B408" s="4">
        <v>3.1</v>
      </c>
    </row>
    <row r="409" spans="1:2" x14ac:dyDescent="0.3">
      <c r="A409" s="4" t="s">
        <v>29</v>
      </c>
      <c r="B409" s="4">
        <v>3.7</v>
      </c>
    </row>
    <row r="410" spans="1:2" x14ac:dyDescent="0.3">
      <c r="A410" s="4" t="s">
        <v>23</v>
      </c>
      <c r="B410" s="4">
        <v>4</v>
      </c>
    </row>
    <row r="411" spans="1:2" x14ac:dyDescent="0.3">
      <c r="A411" s="4" t="s">
        <v>23</v>
      </c>
      <c r="B411" s="4">
        <v>3.6</v>
      </c>
    </row>
    <row r="412" spans="1:2" x14ac:dyDescent="0.3">
      <c r="A412" s="4" t="s">
        <v>29</v>
      </c>
      <c r="B412" s="4">
        <v>3.3</v>
      </c>
    </row>
    <row r="413" spans="1:2" x14ac:dyDescent="0.3">
      <c r="A413" s="4" t="s">
        <v>434</v>
      </c>
      <c r="B413" s="4">
        <v>4</v>
      </c>
    </row>
    <row r="414" spans="1:2" x14ac:dyDescent="0.3">
      <c r="A414" s="4" t="s">
        <v>23</v>
      </c>
      <c r="B414" s="4">
        <v>4.3</v>
      </c>
    </row>
    <row r="415" spans="1:2" x14ac:dyDescent="0.3">
      <c r="A415" s="4" t="s">
        <v>23</v>
      </c>
      <c r="B415" s="4">
        <v>4.3</v>
      </c>
    </row>
    <row r="416" spans="1:2" x14ac:dyDescent="0.3">
      <c r="A416" s="4" t="s">
        <v>419</v>
      </c>
      <c r="B416" s="4">
        <v>4.4000000000000004</v>
      </c>
    </row>
    <row r="417" spans="1:2" x14ac:dyDescent="0.3">
      <c r="A417" s="4" t="s">
        <v>439</v>
      </c>
      <c r="B417" s="4">
        <v>3.5</v>
      </c>
    </row>
    <row r="418" spans="1:2" x14ac:dyDescent="0.3">
      <c r="A418" s="4" t="s">
        <v>642</v>
      </c>
      <c r="B418" s="4">
        <v>3.4</v>
      </c>
    </row>
    <row r="419" spans="1:2" x14ac:dyDescent="0.3">
      <c r="A419" s="4" t="s">
        <v>29</v>
      </c>
      <c r="B419" s="4">
        <v>4.3</v>
      </c>
    </row>
    <row r="420" spans="1:2" x14ac:dyDescent="0.3">
      <c r="A420" s="4" t="s">
        <v>23</v>
      </c>
      <c r="B420" s="4">
        <v>4.3</v>
      </c>
    </row>
    <row r="421" spans="1:2" x14ac:dyDescent="0.3">
      <c r="A421" s="4" t="s">
        <v>23</v>
      </c>
      <c r="B421" s="4">
        <v>4.3</v>
      </c>
    </row>
    <row r="422" spans="1:2" x14ac:dyDescent="0.3">
      <c r="A422" s="4" t="s">
        <v>253</v>
      </c>
      <c r="B422" s="4">
        <v>3.3</v>
      </c>
    </row>
    <row r="423" spans="1:2" x14ac:dyDescent="0.3">
      <c r="A423" s="4" t="s">
        <v>121</v>
      </c>
      <c r="B423" s="4">
        <v>4</v>
      </c>
    </row>
    <row r="424" spans="1:2" x14ac:dyDescent="0.3">
      <c r="A424" s="4" t="s">
        <v>23</v>
      </c>
      <c r="B424" s="4">
        <v>4.4000000000000004</v>
      </c>
    </row>
    <row r="425" spans="1:2" x14ac:dyDescent="0.3">
      <c r="A425" s="4" t="s">
        <v>23</v>
      </c>
      <c r="B425" s="4">
        <v>4</v>
      </c>
    </row>
    <row r="426" spans="1:2" x14ac:dyDescent="0.3">
      <c r="A426" s="4" t="s">
        <v>79</v>
      </c>
      <c r="B426" s="4">
        <v>3.3</v>
      </c>
    </row>
    <row r="427" spans="1:2" x14ac:dyDescent="0.3">
      <c r="A427" s="4" t="s">
        <v>121</v>
      </c>
      <c r="B427" s="4">
        <v>3.3</v>
      </c>
    </row>
    <row r="428" spans="1:2" x14ac:dyDescent="0.3">
      <c r="A428" s="4" t="s">
        <v>656</v>
      </c>
      <c r="B428" s="4">
        <v>4</v>
      </c>
    </row>
    <row r="429" spans="1:2" x14ac:dyDescent="0.3">
      <c r="A429" s="4" t="s">
        <v>115</v>
      </c>
      <c r="B429" s="4">
        <v>3.4</v>
      </c>
    </row>
    <row r="430" spans="1:2" x14ac:dyDescent="0.3">
      <c r="A430" s="4" t="s">
        <v>23</v>
      </c>
      <c r="B430" s="4">
        <v>4.2</v>
      </c>
    </row>
    <row r="431" spans="1:2" x14ac:dyDescent="0.3">
      <c r="A431" s="4" t="s">
        <v>23</v>
      </c>
      <c r="B431" s="4">
        <v>4</v>
      </c>
    </row>
    <row r="432" spans="1:2" x14ac:dyDescent="0.3">
      <c r="A432" s="4" t="s">
        <v>29</v>
      </c>
      <c r="B432" s="4">
        <v>3.4</v>
      </c>
    </row>
    <row r="433" spans="1:2" x14ac:dyDescent="0.3">
      <c r="A433" s="4" t="s">
        <v>44</v>
      </c>
      <c r="B433" s="4">
        <v>2.6</v>
      </c>
    </row>
    <row r="434" spans="1:2" x14ac:dyDescent="0.3">
      <c r="A434" s="4" t="s">
        <v>424</v>
      </c>
      <c r="B434" s="4">
        <v>4</v>
      </c>
    </row>
    <row r="435" spans="1:2" x14ac:dyDescent="0.3">
      <c r="A435" s="4" t="s">
        <v>15</v>
      </c>
      <c r="B435" s="4">
        <v>3.8</v>
      </c>
    </row>
    <row r="436" spans="1:2" x14ac:dyDescent="0.3">
      <c r="A436" s="4" t="s">
        <v>23</v>
      </c>
      <c r="B436" s="4">
        <v>4.4000000000000004</v>
      </c>
    </row>
    <row r="437" spans="1:2" x14ac:dyDescent="0.3">
      <c r="A437" s="4" t="s">
        <v>274</v>
      </c>
      <c r="B437" s="4">
        <v>3.4</v>
      </c>
    </row>
    <row r="438" spans="1:2" x14ac:dyDescent="0.3">
      <c r="A438" s="4" t="s">
        <v>79</v>
      </c>
      <c r="B438" s="4">
        <v>3.5</v>
      </c>
    </row>
    <row r="439" spans="1:2" x14ac:dyDescent="0.3">
      <c r="A439" s="4" t="s">
        <v>671</v>
      </c>
      <c r="B439" s="4">
        <v>3.5</v>
      </c>
    </row>
    <row r="440" spans="1:2" x14ac:dyDescent="0.3">
      <c r="A440" s="4" t="s">
        <v>23</v>
      </c>
      <c r="B440" s="4">
        <v>4.0999999999999996</v>
      </c>
    </row>
    <row r="441" spans="1:2" x14ac:dyDescent="0.3">
      <c r="A441" s="4" t="s">
        <v>23</v>
      </c>
      <c r="B441" s="4">
        <v>4</v>
      </c>
    </row>
    <row r="442" spans="1:2" x14ac:dyDescent="0.3">
      <c r="A442" s="4"/>
      <c r="B442" s="4">
        <v>4</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F49E6-EEBA-45F3-BDBA-A3ED57ECEA22}">
  <dimension ref="A1:B442"/>
  <sheetViews>
    <sheetView workbookViewId="0">
      <selection activeCell="P3" sqref="P3"/>
    </sheetView>
  </sheetViews>
  <sheetFormatPr defaultRowHeight="15.6" x14ac:dyDescent="0.3"/>
  <cols>
    <col min="1" max="1" width="13.59765625" style="3" customWidth="1"/>
    <col min="2" max="2" width="13.59765625" customWidth="1"/>
  </cols>
  <sheetData>
    <row r="1" spans="1:2" x14ac:dyDescent="0.3">
      <c r="A1" s="13" t="s">
        <v>3</v>
      </c>
      <c r="B1" s="14" t="s">
        <v>4</v>
      </c>
    </row>
    <row r="2" spans="1:2" x14ac:dyDescent="0.3">
      <c r="A2" s="2">
        <v>199</v>
      </c>
      <c r="B2" s="9">
        <v>0.5</v>
      </c>
    </row>
    <row r="3" spans="1:2" x14ac:dyDescent="0.3">
      <c r="A3" s="2">
        <v>171</v>
      </c>
      <c r="B3" s="9">
        <v>0.42</v>
      </c>
    </row>
    <row r="4" spans="1:2" x14ac:dyDescent="0.3">
      <c r="A4" s="2">
        <v>384</v>
      </c>
      <c r="B4" s="9">
        <v>0.14000000000000001</v>
      </c>
    </row>
    <row r="5" spans="1:2" x14ac:dyDescent="0.3">
      <c r="A5" s="2">
        <v>349</v>
      </c>
      <c r="B5" s="9">
        <v>0.22</v>
      </c>
    </row>
    <row r="6" spans="1:2" x14ac:dyDescent="0.3">
      <c r="A6" s="2">
        <v>150</v>
      </c>
      <c r="B6" s="9">
        <v>0.69</v>
      </c>
    </row>
    <row r="7" spans="1:2" x14ac:dyDescent="0.3">
      <c r="A7" s="2">
        <v>169</v>
      </c>
      <c r="B7" s="9">
        <v>0.66</v>
      </c>
    </row>
    <row r="8" spans="1:2" x14ac:dyDescent="0.3">
      <c r="A8" s="2">
        <v>250</v>
      </c>
      <c r="B8" s="9">
        <v>0.83</v>
      </c>
    </row>
    <row r="9" spans="1:2" x14ac:dyDescent="0.3">
      <c r="A9" s="2">
        <v>153</v>
      </c>
      <c r="B9" s="9">
        <v>0.48</v>
      </c>
    </row>
    <row r="10" spans="1:2" x14ac:dyDescent="0.3">
      <c r="A10" s="2">
        <v>384</v>
      </c>
      <c r="B10" s="9">
        <v>0.14000000000000001</v>
      </c>
    </row>
    <row r="11" spans="1:2" x14ac:dyDescent="0.3">
      <c r="A11" s="2">
        <v>335</v>
      </c>
      <c r="B11" s="9">
        <v>0.32</v>
      </c>
    </row>
    <row r="12" spans="1:2" x14ac:dyDescent="0.3">
      <c r="A12" s="2">
        <v>135</v>
      </c>
      <c r="B12" s="9">
        <v>0.66</v>
      </c>
    </row>
    <row r="13" spans="1:2" x14ac:dyDescent="0.3">
      <c r="A13" s="2">
        <v>160</v>
      </c>
      <c r="B13" s="9">
        <v>0.89</v>
      </c>
    </row>
    <row r="14" spans="1:2" x14ac:dyDescent="0.3">
      <c r="A14" s="2">
        <v>516</v>
      </c>
      <c r="B14" s="9">
        <v>0.31</v>
      </c>
    </row>
    <row r="15" spans="1:2" x14ac:dyDescent="0.3">
      <c r="A15" s="2">
        <v>388</v>
      </c>
      <c r="B15" s="9">
        <v>0.28999999999999998</v>
      </c>
    </row>
    <row r="16" spans="1:2" x14ac:dyDescent="0.3">
      <c r="A16" s="2">
        <v>145</v>
      </c>
      <c r="B16" s="9">
        <v>0.88</v>
      </c>
    </row>
    <row r="17" spans="1:2" x14ac:dyDescent="0.3">
      <c r="A17" s="2">
        <v>179</v>
      </c>
      <c r="B17" s="9">
        <v>0.55000000000000004</v>
      </c>
    </row>
    <row r="18" spans="1:2" x14ac:dyDescent="0.3">
      <c r="A18" s="2">
        <v>142</v>
      </c>
      <c r="B18" s="9">
        <v>0.71</v>
      </c>
    </row>
    <row r="19" spans="1:2" x14ac:dyDescent="0.3">
      <c r="A19" s="2">
        <v>135</v>
      </c>
      <c r="B19" s="9">
        <v>0.76</v>
      </c>
    </row>
    <row r="20" spans="1:2" x14ac:dyDescent="0.3">
      <c r="A20" s="2">
        <v>349</v>
      </c>
      <c r="B20" s="9">
        <v>0.22</v>
      </c>
    </row>
    <row r="21" spans="1:2" x14ac:dyDescent="0.3">
      <c r="A21" s="2">
        <v>349</v>
      </c>
      <c r="B21" s="9">
        <v>0.22</v>
      </c>
    </row>
    <row r="22" spans="1:2" x14ac:dyDescent="0.3">
      <c r="A22" s="2">
        <v>264</v>
      </c>
      <c r="B22" s="9">
        <v>0.28000000000000003</v>
      </c>
    </row>
    <row r="23" spans="1:2" x14ac:dyDescent="0.3">
      <c r="A23" s="2">
        <v>135</v>
      </c>
      <c r="B23" s="9">
        <v>0.66</v>
      </c>
    </row>
    <row r="24" spans="1:2" x14ac:dyDescent="0.3">
      <c r="A24" s="2">
        <v>424</v>
      </c>
      <c r="B24" s="9">
        <v>0.15</v>
      </c>
    </row>
    <row r="25" spans="1:2" x14ac:dyDescent="0.3">
      <c r="A25" s="2">
        <v>359</v>
      </c>
      <c r="B25" s="9">
        <v>0.2</v>
      </c>
    </row>
    <row r="26" spans="1:2" x14ac:dyDescent="0.3">
      <c r="A26" s="2">
        <v>196</v>
      </c>
      <c r="B26" s="9">
        <v>0.37</v>
      </c>
    </row>
    <row r="27" spans="1:2" x14ac:dyDescent="0.3">
      <c r="A27" s="2">
        <v>134</v>
      </c>
      <c r="B27" s="9">
        <v>0.77</v>
      </c>
    </row>
    <row r="28" spans="1:2" x14ac:dyDescent="0.3">
      <c r="A28" s="2">
        <v>169</v>
      </c>
      <c r="B28" s="9">
        <v>0.87</v>
      </c>
    </row>
    <row r="29" spans="1:2" x14ac:dyDescent="0.3">
      <c r="A29" s="2">
        <v>233</v>
      </c>
      <c r="B29" s="9">
        <v>0.48</v>
      </c>
    </row>
    <row r="30" spans="1:2" x14ac:dyDescent="0.3">
      <c r="A30" s="2">
        <v>335</v>
      </c>
      <c r="B30" s="9">
        <v>0.25</v>
      </c>
    </row>
    <row r="31" spans="1:2" x14ac:dyDescent="0.3">
      <c r="A31" s="2">
        <v>426</v>
      </c>
      <c r="B31" s="9">
        <v>0.14000000000000001</v>
      </c>
    </row>
    <row r="32" spans="1:2" x14ac:dyDescent="0.3">
      <c r="A32" s="2">
        <v>155</v>
      </c>
      <c r="B32" s="9">
        <v>0.68</v>
      </c>
    </row>
    <row r="33" spans="1:2" x14ac:dyDescent="0.3">
      <c r="A33" s="2">
        <v>250</v>
      </c>
      <c r="B33" s="9">
        <v>0.83</v>
      </c>
    </row>
    <row r="34" spans="1:2" x14ac:dyDescent="0.3">
      <c r="A34" s="2">
        <v>335</v>
      </c>
      <c r="B34" s="9">
        <v>0.32</v>
      </c>
    </row>
    <row r="35" spans="1:2" x14ac:dyDescent="0.3">
      <c r="A35" s="2">
        <v>335</v>
      </c>
      <c r="B35" s="9">
        <v>0.24</v>
      </c>
    </row>
    <row r="36" spans="1:2" x14ac:dyDescent="0.3">
      <c r="A36" s="2">
        <v>137</v>
      </c>
      <c r="B36" s="9">
        <v>0.89</v>
      </c>
    </row>
    <row r="37" spans="1:2" x14ac:dyDescent="0.3">
      <c r="A37" s="2">
        <v>135</v>
      </c>
      <c r="B37" s="9">
        <v>0.66</v>
      </c>
    </row>
    <row r="38" spans="1:2" x14ac:dyDescent="0.3">
      <c r="A38" s="2">
        <v>200</v>
      </c>
      <c r="B38" s="9">
        <v>0.49</v>
      </c>
    </row>
    <row r="39" spans="1:2" x14ac:dyDescent="0.3">
      <c r="A39" s="2">
        <v>215</v>
      </c>
      <c r="B39" s="9">
        <v>0.41</v>
      </c>
    </row>
    <row r="40" spans="1:2" x14ac:dyDescent="0.3">
      <c r="A40" s="2">
        <v>331</v>
      </c>
      <c r="B40" s="9">
        <v>0.33</v>
      </c>
    </row>
    <row r="41" spans="1:2" x14ac:dyDescent="0.3">
      <c r="A41" s="2">
        <v>325</v>
      </c>
      <c r="B41" s="9">
        <v>0.06</v>
      </c>
    </row>
    <row r="42" spans="1:2" x14ac:dyDescent="0.3">
      <c r="A42" s="2">
        <v>145</v>
      </c>
      <c r="B42" s="9">
        <v>0.7</v>
      </c>
    </row>
    <row r="43" spans="1:2" x14ac:dyDescent="0.3">
      <c r="A43" s="2">
        <v>1011</v>
      </c>
      <c r="B43" s="9">
        <v>0.49</v>
      </c>
    </row>
    <row r="44" spans="1:2" x14ac:dyDescent="0.3">
      <c r="A44" s="2">
        <v>384</v>
      </c>
      <c r="B44" s="9">
        <v>0.14000000000000001</v>
      </c>
    </row>
    <row r="45" spans="1:2" x14ac:dyDescent="0.3">
      <c r="A45" s="2">
        <v>349</v>
      </c>
      <c r="B45" s="9">
        <v>0.22</v>
      </c>
    </row>
    <row r="46" spans="1:2" x14ac:dyDescent="0.3">
      <c r="A46" s="2">
        <v>198</v>
      </c>
      <c r="B46" s="9">
        <v>0.43</v>
      </c>
    </row>
    <row r="47" spans="1:2" x14ac:dyDescent="0.3">
      <c r="A47" s="2">
        <v>149</v>
      </c>
      <c r="B47" s="9">
        <v>0.7</v>
      </c>
    </row>
    <row r="48" spans="1:2" x14ac:dyDescent="0.3">
      <c r="A48" s="2">
        <v>454</v>
      </c>
      <c r="B48" s="9">
        <v>0.43</v>
      </c>
    </row>
    <row r="49" spans="1:2" x14ac:dyDescent="0.3">
      <c r="A49" s="2">
        <v>188</v>
      </c>
      <c r="B49" s="9">
        <v>0.37</v>
      </c>
    </row>
    <row r="50" spans="1:2" x14ac:dyDescent="0.3">
      <c r="A50" s="2">
        <v>384</v>
      </c>
      <c r="B50" s="9">
        <v>0.14000000000000001</v>
      </c>
    </row>
    <row r="51" spans="1:2" x14ac:dyDescent="0.3">
      <c r="A51" s="2">
        <v>335</v>
      </c>
      <c r="B51" s="9">
        <v>0.32</v>
      </c>
    </row>
    <row r="52" spans="1:2" x14ac:dyDescent="0.3">
      <c r="A52" s="2">
        <v>149</v>
      </c>
      <c r="B52" s="9">
        <v>0.89</v>
      </c>
    </row>
    <row r="53" spans="1:2" x14ac:dyDescent="0.3">
      <c r="A53" s="2">
        <v>132</v>
      </c>
      <c r="B53" s="9">
        <v>0.73</v>
      </c>
    </row>
    <row r="54" spans="1:2" x14ac:dyDescent="0.3">
      <c r="A54" s="2">
        <v>516</v>
      </c>
      <c r="B54" s="9">
        <v>0.31</v>
      </c>
    </row>
    <row r="55" spans="1:2" x14ac:dyDescent="0.3">
      <c r="A55" s="2">
        <v>388</v>
      </c>
      <c r="B55" s="9">
        <v>0.28999999999999998</v>
      </c>
    </row>
    <row r="56" spans="1:2" x14ac:dyDescent="0.3">
      <c r="A56" s="2">
        <v>216</v>
      </c>
      <c r="B56" s="9">
        <v>0.45</v>
      </c>
    </row>
    <row r="57" spans="1:2" x14ac:dyDescent="0.3">
      <c r="A57" s="2">
        <v>144</v>
      </c>
      <c r="B57" s="9">
        <v>0.71</v>
      </c>
    </row>
    <row r="58" spans="1:2" x14ac:dyDescent="0.3">
      <c r="A58" s="2">
        <v>145</v>
      </c>
      <c r="B58" s="9">
        <v>0.51</v>
      </c>
    </row>
    <row r="59" spans="1:2" x14ac:dyDescent="0.3">
      <c r="A59" s="2">
        <v>165</v>
      </c>
      <c r="B59" s="9">
        <v>0.57999999999999996</v>
      </c>
    </row>
    <row r="60" spans="1:2" x14ac:dyDescent="0.3">
      <c r="A60" s="2">
        <v>349</v>
      </c>
      <c r="B60" s="9">
        <v>0.22</v>
      </c>
    </row>
    <row r="61" spans="1:2" x14ac:dyDescent="0.3">
      <c r="A61" s="2">
        <v>349</v>
      </c>
      <c r="B61" s="9">
        <v>0.22</v>
      </c>
    </row>
    <row r="62" spans="1:2" x14ac:dyDescent="0.3">
      <c r="A62" s="2">
        <v>189</v>
      </c>
      <c r="B62" s="9">
        <v>0.48</v>
      </c>
    </row>
    <row r="63" spans="1:2" x14ac:dyDescent="0.3">
      <c r="A63" s="2">
        <v>149</v>
      </c>
      <c r="B63" s="9">
        <v>0.88</v>
      </c>
    </row>
    <row r="64" spans="1:2" x14ac:dyDescent="0.3">
      <c r="A64" s="2">
        <v>424</v>
      </c>
      <c r="B64" s="9">
        <v>0.15</v>
      </c>
    </row>
    <row r="65" spans="1:2" x14ac:dyDescent="0.3">
      <c r="A65" s="2">
        <v>359</v>
      </c>
      <c r="B65" s="9">
        <v>0.2</v>
      </c>
    </row>
    <row r="66" spans="1:2" x14ac:dyDescent="0.3">
      <c r="A66" s="2">
        <v>149</v>
      </c>
      <c r="B66" s="9">
        <v>0.5</v>
      </c>
    </row>
    <row r="67" spans="1:2" x14ac:dyDescent="0.3">
      <c r="A67" s="2">
        <v>188</v>
      </c>
      <c r="B67" s="9">
        <v>0.49</v>
      </c>
    </row>
    <row r="68" spans="1:2" x14ac:dyDescent="0.3">
      <c r="A68" s="2">
        <v>135</v>
      </c>
      <c r="B68" s="9">
        <v>0.66</v>
      </c>
    </row>
    <row r="69" spans="1:2" x14ac:dyDescent="0.3">
      <c r="A69" s="2">
        <v>149</v>
      </c>
      <c r="B69" s="9">
        <v>0.25</v>
      </c>
    </row>
    <row r="70" spans="1:2" x14ac:dyDescent="0.3">
      <c r="A70" s="2">
        <v>335</v>
      </c>
      <c r="B70" s="9">
        <v>0.25</v>
      </c>
    </row>
    <row r="71" spans="1:2" x14ac:dyDescent="0.3">
      <c r="A71" s="2">
        <v>426</v>
      </c>
      <c r="B71" s="9">
        <v>0.14000000000000001</v>
      </c>
    </row>
    <row r="72" spans="1:2" x14ac:dyDescent="0.3">
      <c r="A72" s="2">
        <v>200</v>
      </c>
      <c r="B72" s="9">
        <v>0.59</v>
      </c>
    </row>
    <row r="73" spans="1:2" x14ac:dyDescent="0.3">
      <c r="A73" s="2">
        <v>277</v>
      </c>
      <c r="B73" s="9">
        <v>0.3</v>
      </c>
    </row>
    <row r="74" spans="1:2" x14ac:dyDescent="0.3">
      <c r="A74" s="2">
        <v>335</v>
      </c>
      <c r="B74" s="9">
        <v>0.32</v>
      </c>
    </row>
    <row r="75" spans="1:2" x14ac:dyDescent="0.3">
      <c r="A75" s="2">
        <v>335</v>
      </c>
      <c r="B75" s="9">
        <v>0.24</v>
      </c>
    </row>
    <row r="76" spans="1:2" x14ac:dyDescent="0.3">
      <c r="A76" s="2">
        <v>169</v>
      </c>
      <c r="B76" s="9">
        <v>0.88</v>
      </c>
    </row>
    <row r="77" spans="1:2" x14ac:dyDescent="0.3">
      <c r="A77" s="2">
        <v>207</v>
      </c>
      <c r="B77" s="9">
        <v>0.48</v>
      </c>
    </row>
    <row r="78" spans="1:2" x14ac:dyDescent="0.3">
      <c r="A78" s="2">
        <v>149</v>
      </c>
      <c r="B78" s="9">
        <v>0.5</v>
      </c>
    </row>
    <row r="79" spans="1:2" x14ac:dyDescent="0.3">
      <c r="A79" s="2">
        <v>224</v>
      </c>
      <c r="B79" s="9">
        <v>0.25</v>
      </c>
    </row>
    <row r="80" spans="1:2" x14ac:dyDescent="0.3">
      <c r="A80" s="2">
        <v>331</v>
      </c>
      <c r="B80" s="9">
        <v>0.33</v>
      </c>
    </row>
    <row r="81" spans="1:2" x14ac:dyDescent="0.3">
      <c r="A81" s="2">
        <v>325</v>
      </c>
      <c r="B81" s="9">
        <v>0.06</v>
      </c>
    </row>
    <row r="82" spans="1:2" x14ac:dyDescent="0.3">
      <c r="A82" s="2">
        <v>135</v>
      </c>
      <c r="B82" s="9">
        <v>0.66</v>
      </c>
    </row>
    <row r="83" spans="1:2" x14ac:dyDescent="0.3">
      <c r="A83" s="2">
        <v>146</v>
      </c>
      <c r="B83" s="9">
        <v>0.83</v>
      </c>
    </row>
    <row r="84" spans="1:2" x14ac:dyDescent="0.3">
      <c r="A84" s="2">
        <v>384</v>
      </c>
      <c r="B84" s="9">
        <v>0.14000000000000001</v>
      </c>
    </row>
    <row r="85" spans="1:2" x14ac:dyDescent="0.3">
      <c r="A85" s="2">
        <v>349</v>
      </c>
      <c r="B85" s="9">
        <v>0.22</v>
      </c>
    </row>
    <row r="86" spans="1:2" x14ac:dyDescent="0.3">
      <c r="A86" s="2">
        <v>140</v>
      </c>
      <c r="B86" s="9">
        <v>0.86</v>
      </c>
    </row>
    <row r="87" spans="1:2" x14ac:dyDescent="0.3">
      <c r="A87" s="2">
        <v>149</v>
      </c>
      <c r="B87" s="9">
        <v>0.78</v>
      </c>
    </row>
    <row r="88" spans="1:2" x14ac:dyDescent="0.3">
      <c r="A88" s="2">
        <v>149</v>
      </c>
      <c r="B88" s="9">
        <v>0.75</v>
      </c>
    </row>
    <row r="89" spans="1:2" x14ac:dyDescent="0.3">
      <c r="A89" s="2">
        <v>182</v>
      </c>
      <c r="B89" s="9">
        <v>0.54</v>
      </c>
    </row>
    <row r="90" spans="1:2" x14ac:dyDescent="0.3">
      <c r="A90" s="2">
        <v>384</v>
      </c>
      <c r="B90" s="9">
        <v>0.14000000000000001</v>
      </c>
    </row>
    <row r="91" spans="1:2" x14ac:dyDescent="0.3">
      <c r="A91" s="2">
        <v>335</v>
      </c>
      <c r="B91" s="9">
        <v>0.32</v>
      </c>
    </row>
    <row r="92" spans="1:2" x14ac:dyDescent="0.3">
      <c r="A92" s="2">
        <v>135</v>
      </c>
      <c r="B92" s="9">
        <v>0.77</v>
      </c>
    </row>
    <row r="93" spans="1:2" x14ac:dyDescent="0.3">
      <c r="A93" s="2">
        <v>167</v>
      </c>
      <c r="B93" s="9">
        <v>0.44</v>
      </c>
    </row>
    <row r="94" spans="1:2" x14ac:dyDescent="0.3">
      <c r="A94" s="2">
        <v>516</v>
      </c>
      <c r="B94" s="9">
        <v>0.31</v>
      </c>
    </row>
    <row r="95" spans="1:2" x14ac:dyDescent="0.3">
      <c r="A95" s="2">
        <v>388</v>
      </c>
      <c r="B95" s="9">
        <v>0.28999999999999998</v>
      </c>
    </row>
    <row r="96" spans="1:2" x14ac:dyDescent="0.3">
      <c r="A96" s="2">
        <v>528</v>
      </c>
      <c r="B96" s="9">
        <v>0.64</v>
      </c>
    </row>
    <row r="97" spans="1:2" x14ac:dyDescent="0.3">
      <c r="A97" s="2">
        <v>181</v>
      </c>
      <c r="B97" s="9">
        <v>0.5</v>
      </c>
    </row>
    <row r="98" spans="1:2" x14ac:dyDescent="0.3">
      <c r="A98" s="2">
        <v>147</v>
      </c>
      <c r="B98" s="9">
        <v>0.26</v>
      </c>
    </row>
    <row r="99" spans="1:2" x14ac:dyDescent="0.3">
      <c r="A99" s="2">
        <v>137</v>
      </c>
      <c r="B99" s="9">
        <v>0.72</v>
      </c>
    </row>
    <row r="100" spans="1:2" x14ac:dyDescent="0.3">
      <c r="A100" s="2">
        <v>349</v>
      </c>
      <c r="B100" s="9">
        <v>0.22</v>
      </c>
    </row>
    <row r="101" spans="1:2" x14ac:dyDescent="0.3">
      <c r="A101" s="2">
        <v>349</v>
      </c>
      <c r="B101" s="9">
        <v>0.22</v>
      </c>
    </row>
    <row r="102" spans="1:2" x14ac:dyDescent="0.3">
      <c r="A102" s="2">
        <v>145</v>
      </c>
      <c r="B102" s="9">
        <v>0.63</v>
      </c>
    </row>
    <row r="103" spans="1:2" x14ac:dyDescent="0.3">
      <c r="A103" s="2">
        <v>492</v>
      </c>
      <c r="B103" s="9">
        <v>0.5</v>
      </c>
    </row>
    <row r="104" spans="1:2" x14ac:dyDescent="0.3">
      <c r="A104" s="2">
        <v>424</v>
      </c>
      <c r="B104" s="9">
        <v>0.15</v>
      </c>
    </row>
    <row r="105" spans="1:2" x14ac:dyDescent="0.3">
      <c r="A105" s="2">
        <v>359</v>
      </c>
      <c r="B105" s="9">
        <v>0.2</v>
      </c>
    </row>
    <row r="106" spans="1:2" x14ac:dyDescent="0.3">
      <c r="A106" s="2">
        <v>191</v>
      </c>
      <c r="B106" s="9">
        <v>0.23</v>
      </c>
    </row>
    <row r="107" spans="1:2" x14ac:dyDescent="0.3">
      <c r="A107" s="2">
        <v>205</v>
      </c>
      <c r="B107" s="9">
        <v>0.63</v>
      </c>
    </row>
    <row r="108" spans="1:2" x14ac:dyDescent="0.3">
      <c r="A108" s="2">
        <v>180</v>
      </c>
      <c r="B108" s="9">
        <v>0.63</v>
      </c>
    </row>
    <row r="109" spans="1:2" x14ac:dyDescent="0.3">
      <c r="A109" s="2">
        <v>142</v>
      </c>
      <c r="B109" s="9">
        <v>0.71</v>
      </c>
    </row>
    <row r="110" spans="1:2" x14ac:dyDescent="0.3">
      <c r="A110" s="2">
        <v>335</v>
      </c>
      <c r="B110" s="9">
        <v>0.25</v>
      </c>
    </row>
    <row r="111" spans="1:2" x14ac:dyDescent="0.3">
      <c r="A111" s="2">
        <v>426</v>
      </c>
      <c r="B111" s="9">
        <v>0.14000000000000001</v>
      </c>
    </row>
    <row r="112" spans="1:2" x14ac:dyDescent="0.3">
      <c r="A112" s="2">
        <v>172</v>
      </c>
      <c r="B112" s="9">
        <v>0.65</v>
      </c>
    </row>
    <row r="113" spans="1:2" x14ac:dyDescent="0.3">
      <c r="A113" s="2">
        <v>130</v>
      </c>
      <c r="B113" s="9">
        <v>0.73</v>
      </c>
    </row>
    <row r="114" spans="1:2" x14ac:dyDescent="0.3">
      <c r="A114" s="2">
        <v>335</v>
      </c>
      <c r="B114" s="9">
        <v>0.32</v>
      </c>
    </row>
    <row r="115" spans="1:2" x14ac:dyDescent="0.3">
      <c r="A115" s="2">
        <v>335</v>
      </c>
      <c r="B115" s="9">
        <v>0.24</v>
      </c>
    </row>
    <row r="116" spans="1:2" x14ac:dyDescent="0.3">
      <c r="A116" s="2">
        <v>253</v>
      </c>
      <c r="B116" s="9">
        <v>0.43</v>
      </c>
    </row>
    <row r="117" spans="1:2" x14ac:dyDescent="0.3">
      <c r="A117" s="2">
        <v>179</v>
      </c>
      <c r="B117" s="9">
        <v>0.82</v>
      </c>
    </row>
    <row r="118" spans="1:2" x14ac:dyDescent="0.3">
      <c r="A118" s="2">
        <v>121</v>
      </c>
      <c r="B118" s="9">
        <v>0.81</v>
      </c>
    </row>
    <row r="119" spans="1:2" x14ac:dyDescent="0.3">
      <c r="A119" s="2">
        <v>169</v>
      </c>
      <c r="B119" s="9">
        <v>0.56999999999999995</v>
      </c>
    </row>
    <row r="120" spans="1:2" x14ac:dyDescent="0.3">
      <c r="A120" s="2">
        <v>331</v>
      </c>
      <c r="B120" s="9">
        <v>0.33</v>
      </c>
    </row>
    <row r="121" spans="1:2" x14ac:dyDescent="0.3">
      <c r="A121" s="2">
        <v>325</v>
      </c>
      <c r="B121" s="9">
        <v>0.06</v>
      </c>
    </row>
    <row r="122" spans="1:2" x14ac:dyDescent="0.3">
      <c r="A122" s="2">
        <v>139</v>
      </c>
      <c r="B122" s="9">
        <v>0.53</v>
      </c>
    </row>
    <row r="123" spans="1:2" x14ac:dyDescent="0.3">
      <c r="A123" s="2">
        <v>140</v>
      </c>
      <c r="B123" s="9">
        <v>0.71</v>
      </c>
    </row>
    <row r="124" spans="1:2" x14ac:dyDescent="0.3">
      <c r="A124" s="2">
        <v>384</v>
      </c>
      <c r="B124" s="9">
        <v>0.14000000000000001</v>
      </c>
    </row>
    <row r="125" spans="1:2" x14ac:dyDescent="0.3">
      <c r="A125" s="2">
        <v>349</v>
      </c>
      <c r="B125" s="9">
        <v>0.22</v>
      </c>
    </row>
    <row r="126" spans="1:2" x14ac:dyDescent="0.3">
      <c r="A126" s="2">
        <v>135</v>
      </c>
      <c r="B126" s="9">
        <v>0.77</v>
      </c>
    </row>
    <row r="127" spans="1:2" x14ac:dyDescent="0.3">
      <c r="A127" s="2">
        <v>158</v>
      </c>
      <c r="B127" s="9">
        <v>0.47</v>
      </c>
    </row>
    <row r="128" spans="1:2" x14ac:dyDescent="0.3">
      <c r="A128" s="2">
        <v>210</v>
      </c>
      <c r="B128" s="9">
        <v>0.47</v>
      </c>
    </row>
    <row r="129" spans="1:2" x14ac:dyDescent="0.3">
      <c r="A129" s="2">
        <v>205</v>
      </c>
      <c r="B129" s="9">
        <v>0.74</v>
      </c>
    </row>
    <row r="130" spans="1:2" x14ac:dyDescent="0.3">
      <c r="A130" s="2">
        <v>384</v>
      </c>
      <c r="B130" s="9">
        <v>0.14000000000000001</v>
      </c>
    </row>
    <row r="131" spans="1:2" x14ac:dyDescent="0.3">
      <c r="A131" s="2">
        <v>335</v>
      </c>
      <c r="B131" s="9">
        <v>0.32</v>
      </c>
    </row>
    <row r="132" spans="1:2" x14ac:dyDescent="0.3">
      <c r="A132" s="2">
        <v>177</v>
      </c>
      <c r="B132" s="9">
        <v>0.85</v>
      </c>
    </row>
    <row r="133" spans="1:2" x14ac:dyDescent="0.3">
      <c r="A133" s="2">
        <v>177</v>
      </c>
      <c r="B133" s="9">
        <v>0.64</v>
      </c>
    </row>
    <row r="134" spans="1:2" x14ac:dyDescent="0.3">
      <c r="A134" s="2">
        <v>516</v>
      </c>
      <c r="B134" s="9">
        <v>0.31</v>
      </c>
    </row>
    <row r="135" spans="1:2" x14ac:dyDescent="0.3">
      <c r="A135" s="2">
        <v>388</v>
      </c>
      <c r="B135" s="9">
        <v>0.28999999999999998</v>
      </c>
    </row>
    <row r="136" spans="1:2" x14ac:dyDescent="0.3">
      <c r="A136" s="2">
        <v>145</v>
      </c>
      <c r="B136" s="9">
        <v>0.51</v>
      </c>
    </row>
    <row r="137" spans="1:2" x14ac:dyDescent="0.3">
      <c r="A137" s="2">
        <v>140</v>
      </c>
      <c r="B137" s="9">
        <v>0.71</v>
      </c>
    </row>
    <row r="138" spans="1:2" x14ac:dyDescent="0.3">
      <c r="A138" s="2">
        <v>140</v>
      </c>
      <c r="B138" s="9">
        <v>0.63</v>
      </c>
    </row>
    <row r="139" spans="1:2" x14ac:dyDescent="0.3">
      <c r="A139" s="2">
        <v>137</v>
      </c>
      <c r="B139" s="9">
        <v>0.77</v>
      </c>
    </row>
    <row r="140" spans="1:2" x14ac:dyDescent="0.3">
      <c r="A140" s="2">
        <v>349</v>
      </c>
      <c r="B140" s="9">
        <v>0.22</v>
      </c>
    </row>
    <row r="141" spans="1:2" x14ac:dyDescent="0.3">
      <c r="A141" s="2">
        <v>349</v>
      </c>
      <c r="B141" s="9">
        <v>0.22</v>
      </c>
    </row>
    <row r="142" spans="1:2" x14ac:dyDescent="0.3">
      <c r="A142" s="2">
        <v>142</v>
      </c>
      <c r="B142" s="9">
        <v>0.71</v>
      </c>
    </row>
    <row r="143" spans="1:2" x14ac:dyDescent="0.3">
      <c r="A143" s="2">
        <v>150</v>
      </c>
      <c r="B143" s="9">
        <v>0.69</v>
      </c>
    </row>
    <row r="144" spans="1:2" x14ac:dyDescent="0.3">
      <c r="A144" s="2">
        <v>424</v>
      </c>
      <c r="B144" s="9">
        <v>0.15</v>
      </c>
    </row>
    <row r="145" spans="1:2" x14ac:dyDescent="0.3">
      <c r="A145" s="2">
        <v>359</v>
      </c>
      <c r="B145" s="9">
        <v>0.2</v>
      </c>
    </row>
    <row r="146" spans="1:2" x14ac:dyDescent="0.3">
      <c r="A146" s="2">
        <v>231</v>
      </c>
      <c r="B146" s="9">
        <v>0.44</v>
      </c>
    </row>
    <row r="147" spans="1:2" x14ac:dyDescent="0.3">
      <c r="A147" s="2">
        <v>128</v>
      </c>
      <c r="B147" s="9">
        <v>0.87</v>
      </c>
    </row>
    <row r="148" spans="1:2" x14ac:dyDescent="0.3">
      <c r="A148" s="2">
        <v>123</v>
      </c>
      <c r="B148" s="9">
        <v>0.75</v>
      </c>
    </row>
    <row r="149" spans="1:2" x14ac:dyDescent="0.3">
      <c r="A149" s="2">
        <v>161</v>
      </c>
      <c r="B149" s="9">
        <v>0.81</v>
      </c>
    </row>
    <row r="150" spans="1:2" x14ac:dyDescent="0.3">
      <c r="A150" s="2">
        <v>335</v>
      </c>
      <c r="B150" s="9">
        <v>0.25</v>
      </c>
    </row>
    <row r="151" spans="1:2" x14ac:dyDescent="0.3">
      <c r="A151" s="2">
        <v>426</v>
      </c>
      <c r="B151" s="9">
        <v>0.14000000000000001</v>
      </c>
    </row>
    <row r="152" spans="1:2" x14ac:dyDescent="0.3">
      <c r="A152" s="2">
        <v>142</v>
      </c>
      <c r="B152" s="9">
        <v>0.9</v>
      </c>
    </row>
    <row r="153" spans="1:2" x14ac:dyDescent="0.3">
      <c r="A153" s="2">
        <v>121</v>
      </c>
      <c r="B153" s="9">
        <v>0.82</v>
      </c>
    </row>
    <row r="154" spans="1:2" x14ac:dyDescent="0.3">
      <c r="A154" s="2">
        <v>335</v>
      </c>
      <c r="B154" s="9">
        <v>0.32</v>
      </c>
    </row>
    <row r="155" spans="1:2" x14ac:dyDescent="0.3">
      <c r="A155" s="2">
        <v>335</v>
      </c>
      <c r="B155" s="9">
        <v>0.24</v>
      </c>
    </row>
    <row r="156" spans="1:2" x14ac:dyDescent="0.3">
      <c r="A156" s="2">
        <v>134</v>
      </c>
      <c r="B156" s="9">
        <v>0.55000000000000004</v>
      </c>
    </row>
    <row r="157" spans="1:2" x14ac:dyDescent="0.3">
      <c r="A157" s="2">
        <v>188</v>
      </c>
      <c r="B157" s="9">
        <v>0.61</v>
      </c>
    </row>
    <row r="158" spans="1:2" x14ac:dyDescent="0.3">
      <c r="A158" s="2">
        <v>150</v>
      </c>
      <c r="B158" s="9">
        <v>0.62</v>
      </c>
    </row>
    <row r="159" spans="1:2" x14ac:dyDescent="0.3">
      <c r="A159" s="2">
        <v>134</v>
      </c>
      <c r="B159" s="9">
        <v>0.77</v>
      </c>
    </row>
    <row r="160" spans="1:2" x14ac:dyDescent="0.3">
      <c r="A160" s="2">
        <v>331</v>
      </c>
      <c r="B160" s="9">
        <v>0.33</v>
      </c>
    </row>
    <row r="161" spans="1:2" x14ac:dyDescent="0.3">
      <c r="A161" s="2">
        <v>325</v>
      </c>
      <c r="B161" s="9">
        <v>0.06</v>
      </c>
    </row>
    <row r="162" spans="1:2" x14ac:dyDescent="0.3">
      <c r="A162" s="2">
        <v>149</v>
      </c>
      <c r="B162" s="9">
        <v>0.61</v>
      </c>
    </row>
    <row r="163" spans="1:2" x14ac:dyDescent="0.3">
      <c r="A163" s="2">
        <v>147</v>
      </c>
      <c r="B163" s="9">
        <v>0.75</v>
      </c>
    </row>
    <row r="164" spans="1:2" x14ac:dyDescent="0.3">
      <c r="A164" s="2">
        <v>384</v>
      </c>
      <c r="B164" s="9">
        <v>0.14000000000000001</v>
      </c>
    </row>
    <row r="165" spans="1:2" x14ac:dyDescent="0.3">
      <c r="A165" s="2">
        <v>349</v>
      </c>
      <c r="B165" s="9">
        <v>0.22</v>
      </c>
    </row>
    <row r="166" spans="1:2" x14ac:dyDescent="0.3">
      <c r="A166" s="2">
        <v>145</v>
      </c>
      <c r="B166" s="9">
        <v>0.7</v>
      </c>
    </row>
    <row r="167" spans="1:2" x14ac:dyDescent="0.3">
      <c r="A167" s="2">
        <v>198</v>
      </c>
      <c r="B167" s="9">
        <v>0.6</v>
      </c>
    </row>
    <row r="168" spans="1:2" x14ac:dyDescent="0.3">
      <c r="A168" s="2">
        <v>140</v>
      </c>
      <c r="B168" s="9">
        <v>0.76</v>
      </c>
    </row>
    <row r="169" spans="1:2" x14ac:dyDescent="0.3">
      <c r="A169" s="2">
        <v>165</v>
      </c>
      <c r="B169" s="9">
        <v>0.66</v>
      </c>
    </row>
    <row r="170" spans="1:2" x14ac:dyDescent="0.3">
      <c r="A170" s="2">
        <v>384</v>
      </c>
      <c r="B170" s="9">
        <v>0.14000000000000001</v>
      </c>
    </row>
    <row r="171" spans="1:2" x14ac:dyDescent="0.3">
      <c r="A171" s="2">
        <v>335</v>
      </c>
      <c r="B171" s="9">
        <v>0.32</v>
      </c>
    </row>
    <row r="172" spans="1:2" x14ac:dyDescent="0.3">
      <c r="A172" s="2">
        <v>132</v>
      </c>
      <c r="B172" s="9">
        <v>0.73</v>
      </c>
    </row>
    <row r="173" spans="1:2" x14ac:dyDescent="0.3">
      <c r="A173" s="2">
        <v>193</v>
      </c>
      <c r="B173" s="9">
        <v>0.24</v>
      </c>
    </row>
    <row r="174" spans="1:2" x14ac:dyDescent="0.3">
      <c r="A174" s="2">
        <v>516</v>
      </c>
      <c r="B174" s="9">
        <v>0.31</v>
      </c>
    </row>
    <row r="175" spans="1:2" x14ac:dyDescent="0.3">
      <c r="A175" s="2">
        <v>388</v>
      </c>
      <c r="B175" s="9">
        <v>0.28999999999999998</v>
      </c>
    </row>
    <row r="176" spans="1:2" x14ac:dyDescent="0.3">
      <c r="A176" s="2">
        <v>150</v>
      </c>
      <c r="B176" s="9">
        <v>0.75</v>
      </c>
    </row>
    <row r="177" spans="1:2" x14ac:dyDescent="0.3">
      <c r="A177" s="2">
        <v>139</v>
      </c>
      <c r="B177" s="9">
        <v>0.72</v>
      </c>
    </row>
    <row r="178" spans="1:2" x14ac:dyDescent="0.3">
      <c r="A178" s="2">
        <v>230</v>
      </c>
      <c r="B178" s="9">
        <v>7.0000000000000007E-2</v>
      </c>
    </row>
    <row r="179" spans="1:2" x14ac:dyDescent="0.3">
      <c r="A179" s="2">
        <v>140</v>
      </c>
      <c r="B179" s="9">
        <v>0.76</v>
      </c>
    </row>
    <row r="180" spans="1:2" x14ac:dyDescent="0.3">
      <c r="A180" s="2">
        <v>349</v>
      </c>
      <c r="B180" s="9">
        <v>0.22</v>
      </c>
    </row>
    <row r="181" spans="1:2" x14ac:dyDescent="0.3">
      <c r="A181" s="2">
        <v>349</v>
      </c>
      <c r="B181" s="9">
        <v>0.22</v>
      </c>
    </row>
    <row r="182" spans="1:2" x14ac:dyDescent="0.3">
      <c r="A182" s="2">
        <v>155</v>
      </c>
      <c r="B182" s="9">
        <v>0.68</v>
      </c>
    </row>
    <row r="183" spans="1:2" x14ac:dyDescent="0.3">
      <c r="A183" s="2">
        <v>170</v>
      </c>
      <c r="B183" s="9">
        <v>0.65</v>
      </c>
    </row>
    <row r="184" spans="1:2" x14ac:dyDescent="0.3">
      <c r="A184" s="2">
        <v>424</v>
      </c>
      <c r="B184" s="9">
        <v>0.15</v>
      </c>
    </row>
    <row r="185" spans="1:2" x14ac:dyDescent="0.3">
      <c r="A185" s="2">
        <v>359</v>
      </c>
      <c r="B185" s="9">
        <v>0.2</v>
      </c>
    </row>
    <row r="186" spans="1:2" x14ac:dyDescent="0.3">
      <c r="A186" s="2">
        <v>392</v>
      </c>
      <c r="B186" s="9">
        <v>0.21</v>
      </c>
    </row>
    <row r="187" spans="1:2" x14ac:dyDescent="0.3">
      <c r="A187" s="2">
        <v>140</v>
      </c>
      <c r="B187" s="9">
        <v>0.78</v>
      </c>
    </row>
    <row r="188" spans="1:2" x14ac:dyDescent="0.3">
      <c r="A188" s="2">
        <v>140</v>
      </c>
      <c r="B188" s="9">
        <v>0.82</v>
      </c>
    </row>
    <row r="189" spans="1:2" x14ac:dyDescent="0.3">
      <c r="A189" s="2">
        <v>162</v>
      </c>
      <c r="B189" s="9">
        <v>0.49</v>
      </c>
    </row>
    <row r="190" spans="1:2" x14ac:dyDescent="0.3">
      <c r="A190" s="2">
        <v>335</v>
      </c>
      <c r="B190" s="9">
        <v>0.25</v>
      </c>
    </row>
    <row r="191" spans="1:2" x14ac:dyDescent="0.3">
      <c r="A191" s="2">
        <v>426</v>
      </c>
      <c r="B191" s="9">
        <v>0.14000000000000001</v>
      </c>
    </row>
    <row r="192" spans="1:2" x14ac:dyDescent="0.3">
      <c r="A192" s="2">
        <v>169</v>
      </c>
      <c r="B192" s="9">
        <v>0.56999999999999995</v>
      </c>
    </row>
    <row r="193" spans="1:2" x14ac:dyDescent="0.3">
      <c r="A193" s="2">
        <v>279</v>
      </c>
      <c r="B193" s="9">
        <v>0.72</v>
      </c>
    </row>
    <row r="194" spans="1:2" x14ac:dyDescent="0.3">
      <c r="A194" s="2">
        <v>335</v>
      </c>
      <c r="B194" s="9">
        <v>0.32</v>
      </c>
    </row>
    <row r="195" spans="1:2" x14ac:dyDescent="0.3">
      <c r="A195" s="2">
        <v>335</v>
      </c>
      <c r="B195" s="9">
        <v>0.24</v>
      </c>
    </row>
    <row r="196" spans="1:2" x14ac:dyDescent="0.3">
      <c r="A196" s="2">
        <v>144</v>
      </c>
      <c r="B196" s="9">
        <v>0.51</v>
      </c>
    </row>
    <row r="197" spans="1:2" x14ac:dyDescent="0.3">
      <c r="A197" s="2">
        <v>176</v>
      </c>
      <c r="B197" s="9">
        <v>0.41</v>
      </c>
    </row>
    <row r="198" spans="1:2" x14ac:dyDescent="0.3">
      <c r="A198" s="2">
        <v>994</v>
      </c>
      <c r="B198" s="9">
        <v>0.33</v>
      </c>
    </row>
    <row r="199" spans="1:2" x14ac:dyDescent="0.3">
      <c r="A199" s="2">
        <v>182</v>
      </c>
      <c r="B199" s="9">
        <v>0.54</v>
      </c>
    </row>
    <row r="200" spans="1:2" x14ac:dyDescent="0.3">
      <c r="A200" s="2">
        <v>331</v>
      </c>
      <c r="B200" s="9">
        <v>0.33</v>
      </c>
    </row>
    <row r="201" spans="1:2" x14ac:dyDescent="0.3">
      <c r="A201" s="2">
        <v>325</v>
      </c>
      <c r="B201" s="9">
        <v>0.06</v>
      </c>
    </row>
    <row r="202" spans="1:2" x14ac:dyDescent="0.3">
      <c r="A202" s="2">
        <v>132</v>
      </c>
      <c r="B202" s="9">
        <v>0.64</v>
      </c>
    </row>
    <row r="203" spans="1:2" x14ac:dyDescent="0.3">
      <c r="A203" s="2">
        <v>179</v>
      </c>
      <c r="B203" s="9">
        <v>0.82</v>
      </c>
    </row>
    <row r="204" spans="1:2" x14ac:dyDescent="0.3">
      <c r="A204" s="2">
        <v>384</v>
      </c>
      <c r="B204" s="9">
        <v>0.14000000000000001</v>
      </c>
    </row>
    <row r="205" spans="1:2" x14ac:dyDescent="0.3">
      <c r="A205" s="2">
        <v>349</v>
      </c>
      <c r="B205" s="9">
        <v>0.22</v>
      </c>
    </row>
    <row r="206" spans="1:2" x14ac:dyDescent="0.3">
      <c r="A206" s="2">
        <v>270</v>
      </c>
      <c r="B206" s="9">
        <v>0.72</v>
      </c>
    </row>
    <row r="207" spans="1:2" x14ac:dyDescent="0.3">
      <c r="A207" s="2">
        <v>157</v>
      </c>
      <c r="B207" s="9">
        <v>0.68</v>
      </c>
    </row>
    <row r="208" spans="1:2" x14ac:dyDescent="0.3">
      <c r="A208" s="2">
        <v>193</v>
      </c>
      <c r="B208" s="9">
        <v>0.47</v>
      </c>
    </row>
    <row r="209" spans="1:2" x14ac:dyDescent="0.3">
      <c r="A209" s="2">
        <v>199</v>
      </c>
      <c r="B209" s="9">
        <v>0.5</v>
      </c>
    </row>
    <row r="210" spans="1:2" x14ac:dyDescent="0.3">
      <c r="A210" s="2">
        <v>384</v>
      </c>
      <c r="B210" s="9">
        <v>0.14000000000000001</v>
      </c>
    </row>
    <row r="211" spans="1:2" x14ac:dyDescent="0.3">
      <c r="A211" s="2">
        <v>335</v>
      </c>
      <c r="B211" s="9">
        <v>0.32</v>
      </c>
    </row>
    <row r="212" spans="1:2" x14ac:dyDescent="0.3">
      <c r="A212" s="2">
        <v>220</v>
      </c>
      <c r="B212" s="9">
        <v>0.77</v>
      </c>
    </row>
    <row r="213" spans="1:2" x14ac:dyDescent="0.3">
      <c r="A213" s="2">
        <v>140</v>
      </c>
      <c r="B213" s="9">
        <v>0.64</v>
      </c>
    </row>
    <row r="214" spans="1:2" x14ac:dyDescent="0.3">
      <c r="A214" s="2">
        <v>516</v>
      </c>
      <c r="B214" s="9">
        <v>0.31</v>
      </c>
    </row>
    <row r="215" spans="1:2" x14ac:dyDescent="0.3">
      <c r="A215" s="2">
        <v>388</v>
      </c>
      <c r="B215" s="9">
        <v>0.28999999999999998</v>
      </c>
    </row>
    <row r="216" spans="1:2" x14ac:dyDescent="0.3">
      <c r="A216" s="2">
        <v>140</v>
      </c>
      <c r="B216" s="9">
        <v>0.48</v>
      </c>
    </row>
    <row r="217" spans="1:2" x14ac:dyDescent="0.3">
      <c r="A217" s="2">
        <v>137</v>
      </c>
      <c r="B217" s="9">
        <v>0.72</v>
      </c>
    </row>
    <row r="218" spans="1:2" x14ac:dyDescent="0.3">
      <c r="A218" s="2">
        <v>198</v>
      </c>
      <c r="B218" s="9">
        <v>0.66</v>
      </c>
    </row>
    <row r="219" spans="1:2" x14ac:dyDescent="0.3">
      <c r="A219" s="2">
        <v>222</v>
      </c>
      <c r="B219" s="9">
        <v>0.77</v>
      </c>
    </row>
    <row r="220" spans="1:2" x14ac:dyDescent="0.3">
      <c r="A220" s="2">
        <v>349</v>
      </c>
      <c r="B220" s="9">
        <v>0.22</v>
      </c>
    </row>
    <row r="221" spans="1:2" x14ac:dyDescent="0.3">
      <c r="A221" s="2">
        <v>349</v>
      </c>
      <c r="B221" s="9">
        <v>0.22</v>
      </c>
    </row>
    <row r="222" spans="1:2" x14ac:dyDescent="0.3">
      <c r="A222" s="2">
        <v>283</v>
      </c>
      <c r="B222" s="9">
        <v>0.71</v>
      </c>
    </row>
    <row r="223" spans="1:2" x14ac:dyDescent="0.3">
      <c r="A223" s="2">
        <v>179</v>
      </c>
      <c r="B223" s="9">
        <v>0.7</v>
      </c>
    </row>
    <row r="224" spans="1:2" x14ac:dyDescent="0.3">
      <c r="A224" s="2">
        <v>424</v>
      </c>
      <c r="B224" s="9">
        <v>0.15</v>
      </c>
    </row>
    <row r="225" spans="1:2" x14ac:dyDescent="0.3">
      <c r="A225" s="2">
        <v>359</v>
      </c>
      <c r="B225" s="9">
        <v>0.2</v>
      </c>
    </row>
    <row r="226" spans="1:2" x14ac:dyDescent="0.3">
      <c r="A226" s="2">
        <v>135</v>
      </c>
      <c r="B226" s="9">
        <v>0.72</v>
      </c>
    </row>
    <row r="227" spans="1:2" x14ac:dyDescent="0.3">
      <c r="A227" s="2">
        <v>212</v>
      </c>
      <c r="B227" s="9">
        <v>0.69</v>
      </c>
    </row>
    <row r="228" spans="1:2" x14ac:dyDescent="0.3">
      <c r="A228" s="2">
        <v>147</v>
      </c>
      <c r="B228" s="9">
        <v>0.75</v>
      </c>
    </row>
    <row r="229" spans="1:2" x14ac:dyDescent="0.3">
      <c r="A229" s="2">
        <v>120</v>
      </c>
      <c r="B229" s="9">
        <v>0.84</v>
      </c>
    </row>
    <row r="230" spans="1:2" x14ac:dyDescent="0.3">
      <c r="A230" s="2">
        <v>335</v>
      </c>
      <c r="B230" s="9">
        <v>0.25</v>
      </c>
    </row>
    <row r="231" spans="1:2" x14ac:dyDescent="0.3">
      <c r="A231" s="2">
        <v>426</v>
      </c>
      <c r="B231" s="9">
        <v>0.14000000000000001</v>
      </c>
    </row>
    <row r="232" spans="1:2" x14ac:dyDescent="0.3">
      <c r="A232" s="2">
        <v>142</v>
      </c>
      <c r="B232" s="9">
        <v>0.71</v>
      </c>
    </row>
    <row r="233" spans="1:2" x14ac:dyDescent="0.3">
      <c r="A233" s="2">
        <v>195</v>
      </c>
      <c r="B233" s="9">
        <v>0.51</v>
      </c>
    </row>
    <row r="234" spans="1:2" x14ac:dyDescent="0.3">
      <c r="A234" s="2">
        <v>335</v>
      </c>
      <c r="B234" s="9">
        <v>0.32</v>
      </c>
    </row>
    <row r="235" spans="1:2" x14ac:dyDescent="0.3">
      <c r="A235" s="2">
        <v>335</v>
      </c>
      <c r="B235" s="9">
        <v>0.24</v>
      </c>
    </row>
    <row r="236" spans="1:2" x14ac:dyDescent="0.3">
      <c r="A236" s="2">
        <v>172</v>
      </c>
      <c r="B236" s="9">
        <v>0.65</v>
      </c>
    </row>
    <row r="237" spans="1:2" x14ac:dyDescent="0.3">
      <c r="A237" s="2">
        <v>135</v>
      </c>
      <c r="B237" s="9">
        <v>0.72</v>
      </c>
    </row>
    <row r="238" spans="1:2" x14ac:dyDescent="0.3">
      <c r="A238" s="2">
        <v>283</v>
      </c>
      <c r="B238" s="9">
        <v>0.43</v>
      </c>
    </row>
    <row r="239" spans="1:2" x14ac:dyDescent="0.3">
      <c r="A239" s="2">
        <v>161</v>
      </c>
      <c r="B239" s="9">
        <v>0.67</v>
      </c>
    </row>
    <row r="240" spans="1:2" x14ac:dyDescent="0.3">
      <c r="A240" s="2">
        <v>331</v>
      </c>
      <c r="B240" s="9">
        <v>0.33</v>
      </c>
    </row>
    <row r="241" spans="1:2" x14ac:dyDescent="0.3">
      <c r="A241" s="2">
        <v>325</v>
      </c>
      <c r="B241" s="9">
        <v>0.06</v>
      </c>
    </row>
    <row r="242" spans="1:2" x14ac:dyDescent="0.3">
      <c r="A242" s="2">
        <v>212</v>
      </c>
      <c r="B242" s="9">
        <v>0.56999999999999995</v>
      </c>
    </row>
    <row r="243" spans="1:2" x14ac:dyDescent="0.3">
      <c r="A243" s="2">
        <v>169</v>
      </c>
      <c r="B243" s="9">
        <v>0.87</v>
      </c>
    </row>
    <row r="244" spans="1:2" x14ac:dyDescent="0.3">
      <c r="A244" s="2">
        <v>134</v>
      </c>
      <c r="B244" s="9">
        <v>0.77</v>
      </c>
    </row>
    <row r="245" spans="1:2" x14ac:dyDescent="0.3">
      <c r="A245" s="2">
        <v>349</v>
      </c>
      <c r="B245" s="9">
        <v>0.22</v>
      </c>
    </row>
    <row r="246" spans="1:2" x14ac:dyDescent="0.3">
      <c r="A246" s="2">
        <v>147</v>
      </c>
      <c r="B246" s="9">
        <v>0.26</v>
      </c>
    </row>
    <row r="247" spans="1:2" x14ac:dyDescent="0.3">
      <c r="A247" s="2">
        <v>157</v>
      </c>
      <c r="B247" s="9">
        <v>0.6</v>
      </c>
    </row>
    <row r="248" spans="1:2" x14ac:dyDescent="0.3">
      <c r="A248" s="2">
        <v>149</v>
      </c>
      <c r="B248" s="9">
        <v>0.5</v>
      </c>
    </row>
    <row r="249" spans="1:2" x14ac:dyDescent="0.3">
      <c r="A249" s="2">
        <v>290</v>
      </c>
      <c r="B249" s="9">
        <v>0.27</v>
      </c>
    </row>
    <row r="250" spans="1:2" x14ac:dyDescent="0.3">
      <c r="A250" s="2">
        <v>384</v>
      </c>
      <c r="B250" s="9">
        <v>0.14000000000000001</v>
      </c>
    </row>
    <row r="251" spans="1:2" x14ac:dyDescent="0.3">
      <c r="A251" s="2">
        <v>335</v>
      </c>
      <c r="B251" s="9">
        <v>0.32</v>
      </c>
    </row>
    <row r="252" spans="1:2" x14ac:dyDescent="0.3">
      <c r="A252" s="2">
        <v>217</v>
      </c>
      <c r="B252" s="9">
        <v>0.35</v>
      </c>
    </row>
    <row r="253" spans="1:2" x14ac:dyDescent="0.3">
      <c r="A253" s="2">
        <v>165</v>
      </c>
      <c r="B253" s="9">
        <v>0.2</v>
      </c>
    </row>
    <row r="254" spans="1:2" x14ac:dyDescent="0.3">
      <c r="A254" s="2">
        <v>516</v>
      </c>
      <c r="B254" s="9">
        <v>0.31</v>
      </c>
    </row>
    <row r="255" spans="1:2" x14ac:dyDescent="0.3">
      <c r="A255" s="2">
        <v>388</v>
      </c>
      <c r="B255" s="9">
        <v>0.28999999999999998</v>
      </c>
    </row>
    <row r="256" spans="1:2" x14ac:dyDescent="0.3">
      <c r="A256" s="2">
        <v>135</v>
      </c>
      <c r="B256" s="9">
        <v>0.6</v>
      </c>
    </row>
    <row r="257" spans="1:2" x14ac:dyDescent="0.3">
      <c r="A257" s="2">
        <v>179</v>
      </c>
      <c r="B257" s="9">
        <v>0.28000000000000003</v>
      </c>
    </row>
    <row r="258" spans="1:2" x14ac:dyDescent="0.3">
      <c r="A258" s="2">
        <v>142</v>
      </c>
      <c r="B258" s="9">
        <v>0.64</v>
      </c>
    </row>
    <row r="259" spans="1:2" x14ac:dyDescent="0.3">
      <c r="A259" s="2">
        <v>137</v>
      </c>
      <c r="B259" s="9">
        <v>0.31</v>
      </c>
    </row>
    <row r="260" spans="1:2" x14ac:dyDescent="0.3">
      <c r="A260" s="2">
        <v>349</v>
      </c>
      <c r="B260" s="9">
        <v>0.22</v>
      </c>
    </row>
    <row r="261" spans="1:2" x14ac:dyDescent="0.3">
      <c r="A261" s="2">
        <v>349</v>
      </c>
      <c r="B261" s="9">
        <v>0.22</v>
      </c>
    </row>
    <row r="262" spans="1:2" x14ac:dyDescent="0.3">
      <c r="A262" s="2">
        <v>135</v>
      </c>
      <c r="B262" s="9">
        <v>0.32</v>
      </c>
    </row>
    <row r="263" spans="1:2" x14ac:dyDescent="0.3">
      <c r="A263" s="2">
        <v>140</v>
      </c>
      <c r="B263" s="9">
        <v>0.28999999999999998</v>
      </c>
    </row>
    <row r="264" spans="1:2" x14ac:dyDescent="0.3">
      <c r="A264" s="2">
        <v>424</v>
      </c>
      <c r="B264" s="9">
        <v>0.15</v>
      </c>
    </row>
    <row r="265" spans="1:2" x14ac:dyDescent="0.3">
      <c r="A265" s="2">
        <v>359</v>
      </c>
      <c r="B265" s="9">
        <v>0.2</v>
      </c>
    </row>
    <row r="266" spans="1:2" x14ac:dyDescent="0.3">
      <c r="A266" s="2">
        <v>310</v>
      </c>
      <c r="B266" s="9">
        <v>0.22</v>
      </c>
    </row>
    <row r="267" spans="1:2" x14ac:dyDescent="0.3">
      <c r="A267" s="2">
        <v>149</v>
      </c>
      <c r="B267" s="9">
        <v>0.57999999999999996</v>
      </c>
    </row>
    <row r="268" spans="1:2" x14ac:dyDescent="0.3">
      <c r="A268" s="2">
        <v>169</v>
      </c>
      <c r="B268" s="9">
        <v>0.56999999999999995</v>
      </c>
    </row>
    <row r="269" spans="1:2" x14ac:dyDescent="0.3">
      <c r="A269" s="2">
        <v>345</v>
      </c>
      <c r="B269" s="9">
        <v>0.65</v>
      </c>
    </row>
    <row r="270" spans="1:2" x14ac:dyDescent="0.3">
      <c r="A270" s="2">
        <v>335</v>
      </c>
      <c r="B270" s="9">
        <v>0.25</v>
      </c>
    </row>
    <row r="271" spans="1:2" x14ac:dyDescent="0.3">
      <c r="A271" s="2">
        <v>426</v>
      </c>
      <c r="B271" s="9">
        <v>0.14000000000000001</v>
      </c>
    </row>
    <row r="272" spans="1:2" x14ac:dyDescent="0.3">
      <c r="A272" s="2">
        <v>203</v>
      </c>
      <c r="B272" s="9">
        <v>0.49</v>
      </c>
    </row>
    <row r="273" spans="1:2" x14ac:dyDescent="0.3">
      <c r="A273" s="2">
        <v>140</v>
      </c>
      <c r="B273" s="9">
        <v>0.82</v>
      </c>
    </row>
    <row r="274" spans="1:2" x14ac:dyDescent="0.3">
      <c r="A274" s="2">
        <v>335</v>
      </c>
      <c r="B274" s="9">
        <v>0.32</v>
      </c>
    </row>
    <row r="275" spans="1:2" x14ac:dyDescent="0.3">
      <c r="A275" s="2">
        <v>335</v>
      </c>
      <c r="B275" s="9">
        <v>0.24</v>
      </c>
    </row>
    <row r="276" spans="1:2" x14ac:dyDescent="0.3">
      <c r="A276" s="2">
        <v>151</v>
      </c>
      <c r="B276" s="9">
        <v>0.62</v>
      </c>
    </row>
    <row r="277" spans="1:2" x14ac:dyDescent="0.3">
      <c r="A277" s="2">
        <v>150</v>
      </c>
      <c r="B277" s="9">
        <v>0.69</v>
      </c>
    </row>
    <row r="278" spans="1:2" x14ac:dyDescent="0.3">
      <c r="A278" s="2">
        <v>158</v>
      </c>
      <c r="B278" s="9">
        <v>0.73</v>
      </c>
    </row>
    <row r="279" spans="1:2" x14ac:dyDescent="0.3">
      <c r="A279" s="2">
        <v>145</v>
      </c>
      <c r="B279" s="9">
        <v>0.51</v>
      </c>
    </row>
    <row r="280" spans="1:2" x14ac:dyDescent="0.3">
      <c r="A280" s="2">
        <v>331</v>
      </c>
      <c r="B280" s="9">
        <v>0.33</v>
      </c>
    </row>
    <row r="281" spans="1:2" x14ac:dyDescent="0.3">
      <c r="A281" s="2">
        <v>325</v>
      </c>
      <c r="B281" s="9">
        <v>0.06</v>
      </c>
    </row>
    <row r="282" spans="1:2" x14ac:dyDescent="0.3">
      <c r="A282" s="2">
        <v>159</v>
      </c>
      <c r="B282" s="9">
        <v>0.2</v>
      </c>
    </row>
    <row r="283" spans="1:2" x14ac:dyDescent="0.3">
      <c r="A283" s="2">
        <v>380</v>
      </c>
      <c r="B283" s="9">
        <v>0.36</v>
      </c>
    </row>
    <row r="284" spans="1:2" x14ac:dyDescent="0.3">
      <c r="A284" s="2">
        <v>167</v>
      </c>
      <c r="B284" s="9">
        <v>0.65</v>
      </c>
    </row>
    <row r="285" spans="1:2" x14ac:dyDescent="0.3">
      <c r="A285" s="2">
        <v>349</v>
      </c>
      <c r="B285" s="9">
        <v>0.22</v>
      </c>
    </row>
    <row r="286" spans="1:2" x14ac:dyDescent="0.3">
      <c r="A286" s="2">
        <v>130</v>
      </c>
      <c r="B286" s="9">
        <v>0.86</v>
      </c>
    </row>
    <row r="287" spans="1:2" x14ac:dyDescent="0.3">
      <c r="A287" s="2">
        <v>426</v>
      </c>
      <c r="B287" s="9">
        <v>0.14000000000000001</v>
      </c>
    </row>
    <row r="288" spans="1:2" x14ac:dyDescent="0.3">
      <c r="A288" s="2">
        <v>147</v>
      </c>
      <c r="B288" s="9">
        <v>0.7</v>
      </c>
    </row>
    <row r="289" spans="1:2" x14ac:dyDescent="0.3">
      <c r="A289" s="2">
        <v>150</v>
      </c>
      <c r="B289" s="9">
        <v>0.49</v>
      </c>
    </row>
    <row r="290" spans="1:2" x14ac:dyDescent="0.3">
      <c r="A290" s="2">
        <v>384</v>
      </c>
      <c r="B290" s="9">
        <v>0.14000000000000001</v>
      </c>
    </row>
    <row r="291" spans="1:2" x14ac:dyDescent="0.3">
      <c r="A291" s="2">
        <v>335</v>
      </c>
      <c r="B291" s="9">
        <v>0.32</v>
      </c>
    </row>
    <row r="292" spans="1:2" x14ac:dyDescent="0.3">
      <c r="A292" s="2">
        <v>165</v>
      </c>
      <c r="B292" s="9">
        <v>0.66</v>
      </c>
    </row>
    <row r="293" spans="1:2" x14ac:dyDescent="0.3">
      <c r="A293" s="2">
        <v>150</v>
      </c>
      <c r="B293" s="9">
        <v>0.62</v>
      </c>
    </row>
    <row r="294" spans="1:2" x14ac:dyDescent="0.3">
      <c r="A294" s="2">
        <v>516</v>
      </c>
      <c r="B294" s="9">
        <v>0.31</v>
      </c>
    </row>
    <row r="295" spans="1:2" x14ac:dyDescent="0.3">
      <c r="A295" s="2">
        <v>388</v>
      </c>
      <c r="B295" s="9">
        <v>0.28999999999999998</v>
      </c>
    </row>
    <row r="296" spans="1:2" x14ac:dyDescent="0.3">
      <c r="A296" s="2">
        <v>169</v>
      </c>
      <c r="B296" s="9">
        <v>0.66</v>
      </c>
    </row>
    <row r="297" spans="1:2" x14ac:dyDescent="0.3">
      <c r="A297" s="2">
        <v>160</v>
      </c>
      <c r="B297" s="9">
        <v>0.67</v>
      </c>
    </row>
    <row r="298" spans="1:2" x14ac:dyDescent="0.3">
      <c r="A298" s="2">
        <v>145</v>
      </c>
      <c r="B298" s="9">
        <v>0.41</v>
      </c>
    </row>
    <row r="299" spans="1:2" x14ac:dyDescent="0.3">
      <c r="A299" s="2">
        <v>167</v>
      </c>
      <c r="B299" s="9">
        <v>0.44</v>
      </c>
    </row>
    <row r="300" spans="1:2" x14ac:dyDescent="0.3">
      <c r="A300" s="2">
        <v>349</v>
      </c>
      <c r="B300" s="9">
        <v>0.22</v>
      </c>
    </row>
    <row r="301" spans="1:2" x14ac:dyDescent="0.3">
      <c r="A301" s="2">
        <v>349</v>
      </c>
      <c r="B301" s="9">
        <v>0.22</v>
      </c>
    </row>
    <row r="302" spans="1:2" x14ac:dyDescent="0.3">
      <c r="A302" s="2">
        <v>145</v>
      </c>
      <c r="B302" s="9">
        <v>0.63</v>
      </c>
    </row>
    <row r="303" spans="1:2" x14ac:dyDescent="0.3">
      <c r="A303" s="2">
        <v>145</v>
      </c>
      <c r="B303" s="9">
        <v>0.41</v>
      </c>
    </row>
    <row r="304" spans="1:2" x14ac:dyDescent="0.3">
      <c r="A304" s="2">
        <v>424</v>
      </c>
      <c r="B304" s="9">
        <v>0.15</v>
      </c>
    </row>
    <row r="305" spans="1:2" x14ac:dyDescent="0.3">
      <c r="A305" s="2">
        <v>359</v>
      </c>
      <c r="B305" s="9">
        <v>0.2</v>
      </c>
    </row>
    <row r="306" spans="1:2" x14ac:dyDescent="0.3">
      <c r="A306" s="2">
        <v>144</v>
      </c>
      <c r="B306" s="9">
        <v>0.27</v>
      </c>
    </row>
    <row r="307" spans="1:2" x14ac:dyDescent="0.3">
      <c r="A307" s="2">
        <v>135</v>
      </c>
      <c r="B307" s="9">
        <v>0.66</v>
      </c>
    </row>
    <row r="308" spans="1:2" x14ac:dyDescent="0.3">
      <c r="A308" s="2">
        <v>135</v>
      </c>
      <c r="B308" s="9">
        <v>0.72</v>
      </c>
    </row>
    <row r="309" spans="1:2" x14ac:dyDescent="0.3">
      <c r="A309" s="2">
        <v>135</v>
      </c>
      <c r="B309" s="9">
        <v>0.72</v>
      </c>
    </row>
    <row r="310" spans="1:2" x14ac:dyDescent="0.3">
      <c r="A310" s="2">
        <v>335</v>
      </c>
      <c r="B310" s="9">
        <v>0.25</v>
      </c>
    </row>
    <row r="311" spans="1:2" x14ac:dyDescent="0.3">
      <c r="A311" s="2">
        <v>426</v>
      </c>
      <c r="B311" s="9">
        <v>0.14000000000000001</v>
      </c>
    </row>
    <row r="312" spans="1:2" x14ac:dyDescent="0.3">
      <c r="A312" s="2">
        <v>142</v>
      </c>
      <c r="B312" s="9">
        <v>0.71</v>
      </c>
    </row>
    <row r="313" spans="1:2" x14ac:dyDescent="0.3">
      <c r="A313" s="2">
        <v>132</v>
      </c>
      <c r="B313" s="9">
        <v>0.73</v>
      </c>
    </row>
    <row r="314" spans="1:2" x14ac:dyDescent="0.3">
      <c r="A314" s="2">
        <v>335</v>
      </c>
      <c r="B314" s="9">
        <v>0.32</v>
      </c>
    </row>
    <row r="315" spans="1:2" x14ac:dyDescent="0.3">
      <c r="A315" s="2">
        <v>335</v>
      </c>
      <c r="B315" s="9">
        <v>0.24</v>
      </c>
    </row>
    <row r="316" spans="1:2" x14ac:dyDescent="0.3">
      <c r="A316" s="2">
        <v>132</v>
      </c>
      <c r="B316" s="9">
        <v>0.73</v>
      </c>
    </row>
    <row r="317" spans="1:2" x14ac:dyDescent="0.3">
      <c r="A317" s="2">
        <v>132</v>
      </c>
      <c r="B317" s="9">
        <v>0.73</v>
      </c>
    </row>
    <row r="318" spans="1:2" x14ac:dyDescent="0.3">
      <c r="A318" s="2">
        <v>142</v>
      </c>
      <c r="B318" s="9">
        <v>0.71</v>
      </c>
    </row>
    <row r="319" spans="1:2" x14ac:dyDescent="0.3">
      <c r="A319" s="2">
        <v>142</v>
      </c>
      <c r="B319" s="9">
        <v>0.71</v>
      </c>
    </row>
    <row r="320" spans="1:2" x14ac:dyDescent="0.3">
      <c r="A320" s="2">
        <v>331</v>
      </c>
      <c r="B320" s="9">
        <v>0.33</v>
      </c>
    </row>
    <row r="321" spans="1:2" x14ac:dyDescent="0.3">
      <c r="A321" s="2">
        <v>325</v>
      </c>
      <c r="B321" s="9">
        <v>0.06</v>
      </c>
    </row>
    <row r="322" spans="1:2" x14ac:dyDescent="0.3">
      <c r="A322" s="2">
        <v>145</v>
      </c>
      <c r="B322" s="9">
        <v>0.7</v>
      </c>
    </row>
    <row r="323" spans="1:2" x14ac:dyDescent="0.3">
      <c r="A323" s="2">
        <v>147</v>
      </c>
      <c r="B323" s="9">
        <v>0.7</v>
      </c>
    </row>
    <row r="324" spans="1:2" x14ac:dyDescent="0.3">
      <c r="A324" s="2">
        <v>116</v>
      </c>
      <c r="B324" s="9">
        <v>0.81</v>
      </c>
    </row>
    <row r="325" spans="1:2" x14ac:dyDescent="0.3">
      <c r="A325" s="2">
        <v>349</v>
      </c>
      <c r="B325" s="9">
        <v>0.22</v>
      </c>
    </row>
    <row r="326" spans="1:2" x14ac:dyDescent="0.3">
      <c r="A326" s="2">
        <v>157</v>
      </c>
      <c r="B326" s="9">
        <v>0.57999999999999996</v>
      </c>
    </row>
    <row r="327" spans="1:2" x14ac:dyDescent="0.3">
      <c r="A327" s="2">
        <v>137</v>
      </c>
      <c r="B327" s="9">
        <v>0.31</v>
      </c>
    </row>
    <row r="328" spans="1:2" x14ac:dyDescent="0.3">
      <c r="A328" s="2">
        <v>140</v>
      </c>
      <c r="B328" s="9">
        <v>0.64</v>
      </c>
    </row>
    <row r="329" spans="1:2" x14ac:dyDescent="0.3">
      <c r="A329" s="2">
        <v>137</v>
      </c>
      <c r="B329" s="9">
        <v>0.31</v>
      </c>
    </row>
    <row r="330" spans="1:2" x14ac:dyDescent="0.3">
      <c r="A330" s="2">
        <v>384</v>
      </c>
      <c r="B330" s="9">
        <v>0.14000000000000001</v>
      </c>
    </row>
    <row r="331" spans="1:2" x14ac:dyDescent="0.3">
      <c r="A331" s="2">
        <v>335</v>
      </c>
      <c r="B331" s="9">
        <v>0.32</v>
      </c>
    </row>
    <row r="332" spans="1:2" x14ac:dyDescent="0.3">
      <c r="A332" s="2">
        <v>145</v>
      </c>
      <c r="B332" s="9">
        <v>0.51</v>
      </c>
    </row>
    <row r="333" spans="1:2" x14ac:dyDescent="0.3">
      <c r="A333" s="2">
        <v>145</v>
      </c>
      <c r="B333" s="9">
        <v>0.51</v>
      </c>
    </row>
    <row r="334" spans="1:2" x14ac:dyDescent="0.3">
      <c r="A334" s="2">
        <v>516</v>
      </c>
      <c r="B334" s="9">
        <v>0.31</v>
      </c>
    </row>
    <row r="335" spans="1:2" x14ac:dyDescent="0.3">
      <c r="A335" s="2">
        <v>388</v>
      </c>
      <c r="B335" s="9">
        <v>0.28999999999999998</v>
      </c>
    </row>
    <row r="336" spans="1:2" x14ac:dyDescent="0.3">
      <c r="A336" s="2">
        <v>142</v>
      </c>
      <c r="B336" s="9">
        <v>0.71</v>
      </c>
    </row>
    <row r="337" spans="1:2" x14ac:dyDescent="0.3">
      <c r="A337" s="2">
        <v>182</v>
      </c>
      <c r="B337" s="9">
        <v>0.63</v>
      </c>
    </row>
    <row r="338" spans="1:2" x14ac:dyDescent="0.3">
      <c r="A338" s="2">
        <v>145</v>
      </c>
      <c r="B338" s="9">
        <v>0.27</v>
      </c>
    </row>
    <row r="339" spans="1:2" x14ac:dyDescent="0.3">
      <c r="A339" s="2">
        <v>155</v>
      </c>
      <c r="B339" s="9">
        <v>0.68</v>
      </c>
    </row>
    <row r="340" spans="1:2" x14ac:dyDescent="0.3">
      <c r="A340" s="2">
        <v>349</v>
      </c>
      <c r="B340" s="9">
        <v>0.22</v>
      </c>
    </row>
    <row r="341" spans="1:2" x14ac:dyDescent="0.3">
      <c r="A341" s="2">
        <v>349</v>
      </c>
      <c r="B341" s="9">
        <v>0.22</v>
      </c>
    </row>
    <row r="342" spans="1:2" x14ac:dyDescent="0.3">
      <c r="A342" s="2">
        <v>150</v>
      </c>
      <c r="B342" s="9">
        <v>0.28000000000000003</v>
      </c>
    </row>
    <row r="343" spans="1:2" x14ac:dyDescent="0.3">
      <c r="A343" s="2">
        <v>144</v>
      </c>
      <c r="B343" s="9">
        <v>0.63</v>
      </c>
    </row>
    <row r="344" spans="1:2" x14ac:dyDescent="0.3">
      <c r="A344" s="2">
        <v>424</v>
      </c>
      <c r="B344" s="9">
        <v>0.15</v>
      </c>
    </row>
    <row r="345" spans="1:2" x14ac:dyDescent="0.3">
      <c r="A345" s="2">
        <v>359</v>
      </c>
      <c r="B345" s="9">
        <v>0.2</v>
      </c>
    </row>
    <row r="346" spans="1:2" x14ac:dyDescent="0.3">
      <c r="A346" s="2">
        <v>144</v>
      </c>
      <c r="B346" s="9">
        <v>0.51</v>
      </c>
    </row>
    <row r="347" spans="1:2" x14ac:dyDescent="0.3">
      <c r="A347" s="2">
        <v>137</v>
      </c>
      <c r="B347" s="9">
        <v>0.65</v>
      </c>
    </row>
    <row r="348" spans="1:2" x14ac:dyDescent="0.3">
      <c r="A348" s="2">
        <v>250</v>
      </c>
      <c r="B348" s="9">
        <v>0.57999999999999996</v>
      </c>
    </row>
    <row r="349" spans="1:2" x14ac:dyDescent="0.3">
      <c r="A349" s="2">
        <v>145</v>
      </c>
      <c r="B349" s="9">
        <v>0.7</v>
      </c>
    </row>
    <row r="350" spans="1:2" x14ac:dyDescent="0.3">
      <c r="A350" s="2">
        <v>335</v>
      </c>
      <c r="B350" s="9">
        <v>0.25</v>
      </c>
    </row>
    <row r="351" spans="1:2" x14ac:dyDescent="0.3">
      <c r="A351" s="2">
        <v>426</v>
      </c>
      <c r="B351" s="9">
        <v>0.14000000000000001</v>
      </c>
    </row>
    <row r="352" spans="1:2" x14ac:dyDescent="0.3">
      <c r="A352" s="2">
        <v>160</v>
      </c>
      <c r="B352" s="9">
        <v>0.59</v>
      </c>
    </row>
    <row r="353" spans="1:2" x14ac:dyDescent="0.3">
      <c r="A353" s="2">
        <v>169</v>
      </c>
      <c r="B353" s="9">
        <v>0.66</v>
      </c>
    </row>
    <row r="354" spans="1:2" x14ac:dyDescent="0.3">
      <c r="A354" s="2">
        <v>335</v>
      </c>
      <c r="B354" s="9">
        <v>0.32</v>
      </c>
    </row>
    <row r="355" spans="1:2" x14ac:dyDescent="0.3">
      <c r="A355" s="2">
        <v>335</v>
      </c>
      <c r="B355" s="9">
        <v>0.24</v>
      </c>
    </row>
    <row r="356" spans="1:2" x14ac:dyDescent="0.3">
      <c r="A356" s="2">
        <v>297</v>
      </c>
      <c r="B356" s="9">
        <v>0.56999999999999995</v>
      </c>
    </row>
    <row r="357" spans="1:2" x14ac:dyDescent="0.3">
      <c r="A357" s="2">
        <v>145</v>
      </c>
      <c r="B357" s="9">
        <v>0.51</v>
      </c>
    </row>
    <row r="358" spans="1:2" x14ac:dyDescent="0.3">
      <c r="A358" s="2">
        <v>198</v>
      </c>
      <c r="B358" s="9">
        <v>0.6</v>
      </c>
    </row>
    <row r="359" spans="1:2" x14ac:dyDescent="0.3">
      <c r="A359" s="2">
        <v>145</v>
      </c>
      <c r="B359" s="9">
        <v>0.51</v>
      </c>
    </row>
    <row r="360" spans="1:2" x14ac:dyDescent="0.3">
      <c r="A360" s="2">
        <v>331</v>
      </c>
      <c r="B360" s="9">
        <v>0.33</v>
      </c>
    </row>
    <row r="361" spans="1:2" x14ac:dyDescent="0.3">
      <c r="A361" s="2">
        <v>325</v>
      </c>
      <c r="B361" s="9">
        <v>0.06</v>
      </c>
    </row>
    <row r="362" spans="1:2" x14ac:dyDescent="0.3">
      <c r="A362" s="2">
        <v>145</v>
      </c>
      <c r="B362" s="9">
        <v>0.51</v>
      </c>
    </row>
    <row r="363" spans="1:2" x14ac:dyDescent="0.3">
      <c r="A363" s="2">
        <v>140</v>
      </c>
      <c r="B363" s="9">
        <v>0.64</v>
      </c>
    </row>
    <row r="364" spans="1:2" x14ac:dyDescent="0.3">
      <c r="A364" s="2">
        <v>349</v>
      </c>
      <c r="B364" s="9">
        <v>0.22</v>
      </c>
    </row>
    <row r="365" spans="1:2" x14ac:dyDescent="0.3">
      <c r="A365" s="2">
        <v>384</v>
      </c>
      <c r="B365" s="9">
        <v>0.14000000000000001</v>
      </c>
    </row>
    <row r="366" spans="1:2" x14ac:dyDescent="0.3">
      <c r="A366" s="2">
        <v>145</v>
      </c>
      <c r="B366" s="9">
        <v>0.51</v>
      </c>
    </row>
    <row r="367" spans="1:2" x14ac:dyDescent="0.3">
      <c r="A367" s="2">
        <v>212</v>
      </c>
      <c r="B367" s="9">
        <v>0.69</v>
      </c>
    </row>
    <row r="368" spans="1:2" x14ac:dyDescent="0.3">
      <c r="A368" s="2">
        <v>160</v>
      </c>
      <c r="B368" s="9">
        <v>0.59</v>
      </c>
    </row>
    <row r="369" spans="1:2" x14ac:dyDescent="0.3">
      <c r="A369" s="2">
        <v>145</v>
      </c>
      <c r="B369" s="9">
        <v>0.63</v>
      </c>
    </row>
    <row r="370" spans="1:2" x14ac:dyDescent="0.3">
      <c r="A370" s="2">
        <v>335</v>
      </c>
      <c r="B370" s="9">
        <v>0.32</v>
      </c>
    </row>
    <row r="371" spans="1:2" x14ac:dyDescent="0.3">
      <c r="A371" s="2">
        <v>516</v>
      </c>
      <c r="B371" s="9">
        <v>0.31</v>
      </c>
    </row>
    <row r="372" spans="1:2" x14ac:dyDescent="0.3">
      <c r="A372" s="2">
        <v>145</v>
      </c>
      <c r="B372" s="9">
        <v>0.51</v>
      </c>
    </row>
    <row r="373" spans="1:2" x14ac:dyDescent="0.3">
      <c r="A373" s="2">
        <v>177</v>
      </c>
      <c r="B373" s="9">
        <v>0.64</v>
      </c>
    </row>
    <row r="374" spans="1:2" x14ac:dyDescent="0.3">
      <c r="A374" s="2">
        <v>388</v>
      </c>
      <c r="B374" s="9">
        <v>0.28999999999999998</v>
      </c>
    </row>
    <row r="375" spans="1:2" x14ac:dyDescent="0.3">
      <c r="A375" s="2">
        <v>349</v>
      </c>
      <c r="B375" s="9">
        <v>0.22</v>
      </c>
    </row>
    <row r="376" spans="1:2" x14ac:dyDescent="0.3">
      <c r="A376" s="2">
        <v>300</v>
      </c>
      <c r="B376" s="9">
        <v>0.72</v>
      </c>
    </row>
    <row r="377" spans="1:2" x14ac:dyDescent="0.3">
      <c r="A377" s="2">
        <v>120</v>
      </c>
      <c r="B377" s="9">
        <v>0.84</v>
      </c>
    </row>
    <row r="378" spans="1:2" x14ac:dyDescent="0.3">
      <c r="A378" s="2">
        <v>177</v>
      </c>
      <c r="B378" s="9">
        <v>0.7</v>
      </c>
    </row>
    <row r="379" spans="1:2" x14ac:dyDescent="0.3">
      <c r="A379" s="2">
        <v>145</v>
      </c>
      <c r="B379" s="9">
        <v>0.51</v>
      </c>
    </row>
    <row r="380" spans="1:2" x14ac:dyDescent="0.3">
      <c r="A380" s="2">
        <v>349</v>
      </c>
      <c r="B380" s="9">
        <v>0.22</v>
      </c>
    </row>
    <row r="381" spans="1:2" x14ac:dyDescent="0.3">
      <c r="A381" s="2">
        <v>424</v>
      </c>
      <c r="B381" s="9">
        <v>0.15</v>
      </c>
    </row>
    <row r="382" spans="1:2" x14ac:dyDescent="0.3">
      <c r="A382" s="2">
        <v>135</v>
      </c>
      <c r="B382" s="9">
        <v>0.76</v>
      </c>
    </row>
    <row r="383" spans="1:2" x14ac:dyDescent="0.3">
      <c r="A383" s="2">
        <v>135</v>
      </c>
      <c r="B383" s="9">
        <v>0.72</v>
      </c>
    </row>
    <row r="384" spans="1:2" x14ac:dyDescent="0.3">
      <c r="A384" s="2">
        <v>359</v>
      </c>
      <c r="B384" s="9">
        <v>0.2</v>
      </c>
    </row>
    <row r="385" spans="1:2" x14ac:dyDescent="0.3">
      <c r="A385" s="2">
        <v>335</v>
      </c>
      <c r="B385" s="9">
        <v>0.25</v>
      </c>
    </row>
    <row r="386" spans="1:2" x14ac:dyDescent="0.3">
      <c r="A386" s="2">
        <v>286</v>
      </c>
      <c r="B386" s="9">
        <v>0.63</v>
      </c>
    </row>
    <row r="387" spans="1:2" x14ac:dyDescent="0.3">
      <c r="A387" s="2">
        <v>142</v>
      </c>
      <c r="B387" s="9">
        <v>0.71</v>
      </c>
    </row>
    <row r="388" spans="1:2" x14ac:dyDescent="0.3">
      <c r="A388" s="2">
        <v>283</v>
      </c>
      <c r="B388" s="9">
        <v>0.71</v>
      </c>
    </row>
    <row r="389" spans="1:2" x14ac:dyDescent="0.3">
      <c r="A389" s="2">
        <v>147</v>
      </c>
      <c r="B389" s="9">
        <v>0.75</v>
      </c>
    </row>
    <row r="390" spans="1:2" x14ac:dyDescent="0.3">
      <c r="A390" s="2">
        <v>426</v>
      </c>
      <c r="B390" s="9">
        <v>0.14000000000000001</v>
      </c>
    </row>
    <row r="391" spans="1:2" x14ac:dyDescent="0.3">
      <c r="A391" s="2">
        <v>335</v>
      </c>
      <c r="B391" s="9">
        <v>0.32</v>
      </c>
    </row>
    <row r="392" spans="1:2" x14ac:dyDescent="0.3">
      <c r="A392" s="2">
        <v>179</v>
      </c>
      <c r="B392" s="9">
        <v>0.55000000000000004</v>
      </c>
    </row>
    <row r="393" spans="1:2" x14ac:dyDescent="0.3">
      <c r="A393" s="2">
        <v>144</v>
      </c>
      <c r="B393" s="9">
        <v>0.71</v>
      </c>
    </row>
    <row r="394" spans="1:2" x14ac:dyDescent="0.3">
      <c r="A394" s="2">
        <v>283</v>
      </c>
      <c r="B394" s="9">
        <v>0.71</v>
      </c>
    </row>
    <row r="395" spans="1:2" x14ac:dyDescent="0.3">
      <c r="A395" s="2">
        <v>139</v>
      </c>
      <c r="B395" s="9">
        <v>0.72</v>
      </c>
    </row>
    <row r="396" spans="1:2" x14ac:dyDescent="0.3">
      <c r="A396" s="2">
        <v>335</v>
      </c>
      <c r="B396" s="9">
        <v>0.24</v>
      </c>
    </row>
    <row r="397" spans="1:2" x14ac:dyDescent="0.3">
      <c r="A397" s="2">
        <v>135</v>
      </c>
      <c r="B397" s="9">
        <v>0.72</v>
      </c>
    </row>
    <row r="398" spans="1:2" x14ac:dyDescent="0.3">
      <c r="A398" s="2">
        <v>142</v>
      </c>
      <c r="B398" s="9">
        <v>0.59</v>
      </c>
    </row>
    <row r="399" spans="1:2" x14ac:dyDescent="0.3">
      <c r="A399" s="2">
        <v>167</v>
      </c>
      <c r="B399" s="9">
        <v>0.66</v>
      </c>
    </row>
    <row r="400" spans="1:2" x14ac:dyDescent="0.3">
      <c r="A400" s="2">
        <v>331</v>
      </c>
      <c r="B400" s="9">
        <v>0.33</v>
      </c>
    </row>
    <row r="401" spans="1:2" x14ac:dyDescent="0.3">
      <c r="A401" s="2">
        <v>325</v>
      </c>
      <c r="B401" s="9">
        <v>0.06</v>
      </c>
    </row>
    <row r="402" spans="1:2" x14ac:dyDescent="0.3">
      <c r="A402" s="2">
        <v>145</v>
      </c>
      <c r="B402" s="9">
        <v>0.51</v>
      </c>
    </row>
    <row r="403" spans="1:2" x14ac:dyDescent="0.3">
      <c r="A403" s="2">
        <v>140</v>
      </c>
      <c r="B403" s="9">
        <v>0.64</v>
      </c>
    </row>
    <row r="404" spans="1:2" x14ac:dyDescent="0.3">
      <c r="A404" s="2">
        <v>349</v>
      </c>
      <c r="B404" s="9">
        <v>0.22</v>
      </c>
    </row>
    <row r="405" spans="1:2" x14ac:dyDescent="0.3">
      <c r="A405" s="2">
        <v>384</v>
      </c>
      <c r="B405" s="9">
        <v>0.14000000000000001</v>
      </c>
    </row>
    <row r="406" spans="1:2" x14ac:dyDescent="0.3">
      <c r="A406" s="2">
        <v>145</v>
      </c>
      <c r="B406" s="9">
        <v>0.51</v>
      </c>
    </row>
    <row r="407" spans="1:2" x14ac:dyDescent="0.3">
      <c r="A407" s="2">
        <v>220</v>
      </c>
      <c r="B407" s="9">
        <v>0.77</v>
      </c>
    </row>
    <row r="408" spans="1:2" x14ac:dyDescent="0.3">
      <c r="A408" s="2">
        <v>160</v>
      </c>
      <c r="B408" s="9">
        <v>0.59</v>
      </c>
    </row>
    <row r="409" spans="1:2" x14ac:dyDescent="0.3">
      <c r="A409" s="2">
        <v>145</v>
      </c>
      <c r="B409" s="9">
        <v>0.63</v>
      </c>
    </row>
    <row r="410" spans="1:2" x14ac:dyDescent="0.3">
      <c r="A410" s="2">
        <v>335</v>
      </c>
      <c r="B410" s="9">
        <v>0.32</v>
      </c>
    </row>
    <row r="411" spans="1:2" x14ac:dyDescent="0.3">
      <c r="A411" s="2">
        <v>516</v>
      </c>
      <c r="B411" s="9">
        <v>0.31</v>
      </c>
    </row>
    <row r="412" spans="1:2" x14ac:dyDescent="0.3">
      <c r="A412" s="2">
        <v>145</v>
      </c>
      <c r="B412" s="9">
        <v>0.51</v>
      </c>
    </row>
    <row r="413" spans="1:2" x14ac:dyDescent="0.3">
      <c r="A413" s="2">
        <v>212</v>
      </c>
      <c r="B413" s="9">
        <v>0.69</v>
      </c>
    </row>
    <row r="414" spans="1:2" x14ac:dyDescent="0.3">
      <c r="A414" s="2">
        <v>388</v>
      </c>
      <c r="B414" s="9">
        <v>0.28999999999999998</v>
      </c>
    </row>
    <row r="415" spans="1:2" x14ac:dyDescent="0.3">
      <c r="A415" s="2">
        <v>349</v>
      </c>
      <c r="B415" s="9">
        <v>0.22</v>
      </c>
    </row>
    <row r="416" spans="1:2" x14ac:dyDescent="0.3">
      <c r="A416" s="2">
        <v>300</v>
      </c>
      <c r="B416" s="9">
        <v>0.72</v>
      </c>
    </row>
    <row r="417" spans="1:2" x14ac:dyDescent="0.3">
      <c r="A417" s="2">
        <v>120</v>
      </c>
      <c r="B417" s="9">
        <v>0.84</v>
      </c>
    </row>
    <row r="418" spans="1:2" x14ac:dyDescent="0.3">
      <c r="A418" s="2">
        <v>177</v>
      </c>
      <c r="B418" s="9">
        <v>0.7</v>
      </c>
    </row>
    <row r="419" spans="1:2" x14ac:dyDescent="0.3">
      <c r="A419" s="2">
        <v>145</v>
      </c>
      <c r="B419" s="9">
        <v>0.51</v>
      </c>
    </row>
    <row r="420" spans="1:2" x14ac:dyDescent="0.3">
      <c r="A420" s="2">
        <v>349</v>
      </c>
      <c r="B420" s="9">
        <v>0.22</v>
      </c>
    </row>
    <row r="421" spans="1:2" x14ac:dyDescent="0.3">
      <c r="A421" s="2">
        <v>424</v>
      </c>
      <c r="B421" s="9">
        <v>0.15</v>
      </c>
    </row>
    <row r="422" spans="1:2" x14ac:dyDescent="0.3">
      <c r="A422" s="2">
        <v>135</v>
      </c>
      <c r="B422" s="9">
        <v>0.76</v>
      </c>
    </row>
    <row r="423" spans="1:2" x14ac:dyDescent="0.3">
      <c r="A423" s="2">
        <v>135</v>
      </c>
      <c r="B423" s="9">
        <v>0.72</v>
      </c>
    </row>
    <row r="424" spans="1:2" x14ac:dyDescent="0.3">
      <c r="A424" s="2">
        <v>359</v>
      </c>
      <c r="B424" s="9">
        <v>0.2</v>
      </c>
    </row>
    <row r="425" spans="1:2" x14ac:dyDescent="0.3">
      <c r="A425" s="2">
        <v>335</v>
      </c>
      <c r="B425" s="9">
        <v>0.25</v>
      </c>
    </row>
    <row r="426" spans="1:2" x14ac:dyDescent="0.3">
      <c r="A426" s="2">
        <v>286</v>
      </c>
      <c r="B426" s="9">
        <v>0.63</v>
      </c>
    </row>
    <row r="427" spans="1:2" x14ac:dyDescent="0.3">
      <c r="A427" s="2">
        <v>142</v>
      </c>
      <c r="B427" s="9">
        <v>0.71</v>
      </c>
    </row>
    <row r="428" spans="1:2" x14ac:dyDescent="0.3">
      <c r="A428" s="2">
        <v>283</v>
      </c>
      <c r="B428" s="9">
        <v>0.71</v>
      </c>
    </row>
    <row r="429" spans="1:2" x14ac:dyDescent="0.3">
      <c r="A429" s="2">
        <v>147</v>
      </c>
      <c r="B429" s="9">
        <v>0.75</v>
      </c>
    </row>
    <row r="430" spans="1:2" x14ac:dyDescent="0.3">
      <c r="A430" s="2">
        <v>426</v>
      </c>
      <c r="B430" s="9">
        <v>0.14000000000000001</v>
      </c>
    </row>
    <row r="431" spans="1:2" x14ac:dyDescent="0.3">
      <c r="A431" s="2">
        <v>335</v>
      </c>
      <c r="B431" s="9">
        <v>0.32</v>
      </c>
    </row>
    <row r="432" spans="1:2" x14ac:dyDescent="0.3">
      <c r="A432" s="2">
        <v>179</v>
      </c>
      <c r="B432" s="9">
        <v>0.55000000000000004</v>
      </c>
    </row>
    <row r="433" spans="1:2" x14ac:dyDescent="0.3">
      <c r="A433" s="2">
        <v>144</v>
      </c>
      <c r="B433" s="9">
        <v>0.71</v>
      </c>
    </row>
    <row r="434" spans="1:2" x14ac:dyDescent="0.3">
      <c r="A434" s="2">
        <v>283</v>
      </c>
      <c r="B434" s="9">
        <v>0.71</v>
      </c>
    </row>
    <row r="435" spans="1:2" x14ac:dyDescent="0.3">
      <c r="A435" s="2">
        <v>139</v>
      </c>
      <c r="B435" s="9">
        <v>0.72</v>
      </c>
    </row>
    <row r="436" spans="1:2" x14ac:dyDescent="0.3">
      <c r="A436" s="2">
        <v>335</v>
      </c>
      <c r="B436" s="9">
        <v>0.24</v>
      </c>
    </row>
    <row r="437" spans="1:2" x14ac:dyDescent="0.3">
      <c r="A437" s="2">
        <v>135</v>
      </c>
      <c r="B437" s="9">
        <v>0.72</v>
      </c>
    </row>
    <row r="438" spans="1:2" x14ac:dyDescent="0.3">
      <c r="A438" s="2">
        <v>142</v>
      </c>
      <c r="B438" s="9">
        <v>0.59</v>
      </c>
    </row>
    <row r="439" spans="1:2" x14ac:dyDescent="0.3">
      <c r="A439" s="2">
        <v>167</v>
      </c>
      <c r="B439" s="9">
        <v>0.66</v>
      </c>
    </row>
    <row r="440" spans="1:2" x14ac:dyDescent="0.3">
      <c r="A440" s="2">
        <v>331</v>
      </c>
      <c r="B440" s="9">
        <v>0.33</v>
      </c>
    </row>
    <row r="441" spans="1:2" x14ac:dyDescent="0.3">
      <c r="A441" s="2">
        <v>325</v>
      </c>
      <c r="B441" s="9">
        <v>0.06</v>
      </c>
    </row>
    <row r="442" spans="1:2" x14ac:dyDescent="0.3">
      <c r="A442" s="2"/>
      <c r="B442" s="4"/>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1A984-3E87-446D-BC0D-495CC0C966CB}">
  <dimension ref="A3:C9"/>
  <sheetViews>
    <sheetView workbookViewId="0">
      <selection activeCell="C13" sqref="C13"/>
    </sheetView>
  </sheetViews>
  <sheetFormatPr defaultRowHeight="15.6" x14ac:dyDescent="0.3"/>
  <cols>
    <col min="1" max="1" width="28.296875" bestFit="1" customWidth="1"/>
    <col min="2" max="2" width="15.3984375" bestFit="1" customWidth="1"/>
    <col min="3" max="3" width="19.296875" bestFit="1" customWidth="1"/>
    <col min="4" max="4" width="16.09765625" bestFit="1" customWidth="1"/>
  </cols>
  <sheetData>
    <row r="3" spans="1:3" ht="31.2" x14ac:dyDescent="0.3">
      <c r="A3" s="15" t="s">
        <v>929</v>
      </c>
      <c r="B3" s="1" t="s">
        <v>931</v>
      </c>
      <c r="C3" t="s">
        <v>932</v>
      </c>
    </row>
    <row r="4" spans="1:3" x14ac:dyDescent="0.3">
      <c r="A4" s="16" t="s">
        <v>46</v>
      </c>
      <c r="B4" s="3">
        <v>9443</v>
      </c>
      <c r="C4" s="3">
        <v>1098</v>
      </c>
    </row>
    <row r="5" spans="1:3" x14ac:dyDescent="0.3">
      <c r="A5" s="16" t="s">
        <v>59</v>
      </c>
      <c r="B5" s="3">
        <v>10125</v>
      </c>
      <c r="C5" s="3">
        <v>3729</v>
      </c>
    </row>
    <row r="6" spans="1:3" x14ac:dyDescent="0.3">
      <c r="A6" s="16" t="s">
        <v>25</v>
      </c>
      <c r="B6" s="3">
        <v>14817</v>
      </c>
      <c r="C6" s="3">
        <v>11517</v>
      </c>
    </row>
    <row r="7" spans="1:3" x14ac:dyDescent="0.3">
      <c r="A7" s="16" t="s">
        <v>40</v>
      </c>
      <c r="B7" s="3">
        <v>44418</v>
      </c>
      <c r="C7" s="3">
        <v>33297</v>
      </c>
    </row>
    <row r="8" spans="1:3" x14ac:dyDescent="0.3">
      <c r="A8" s="16" t="s">
        <v>21</v>
      </c>
      <c r="B8" s="3">
        <v>17467</v>
      </c>
      <c r="C8" s="3">
        <v>14162</v>
      </c>
    </row>
    <row r="9" spans="1:3" x14ac:dyDescent="0.3">
      <c r="A9" s="16" t="s">
        <v>930</v>
      </c>
      <c r="B9" s="3">
        <v>96270</v>
      </c>
      <c r="C9" s="3">
        <v>63803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DB90B-8255-42C3-B492-A7123D1EE396}">
  <dimension ref="A3:B14"/>
  <sheetViews>
    <sheetView workbookViewId="0">
      <selection activeCell="A19" sqref="A19"/>
    </sheetView>
  </sheetViews>
  <sheetFormatPr defaultRowHeight="15.6" x14ac:dyDescent="0.3"/>
  <cols>
    <col min="1" max="1" width="53.796875" bestFit="1" customWidth="1"/>
    <col min="2" max="2" width="19.296875" bestFit="1" customWidth="1"/>
    <col min="3" max="3" width="9.69921875" bestFit="1" customWidth="1"/>
    <col min="4" max="4" width="20.796875" bestFit="1" customWidth="1"/>
    <col min="5" max="5" width="31.8984375" bestFit="1" customWidth="1"/>
    <col min="6" max="6" width="28.09765625" bestFit="1" customWidth="1"/>
    <col min="7" max="7" width="21.3984375" bestFit="1" customWidth="1"/>
    <col min="8" max="8" width="18.69921875" bestFit="1" customWidth="1"/>
    <col min="9" max="9" width="28.19921875" bestFit="1" customWidth="1"/>
    <col min="10" max="10" width="15.296875" bestFit="1" customWidth="1"/>
    <col min="11" max="11" width="26.796875" bestFit="1" customWidth="1"/>
    <col min="12" max="12" width="23.59765625" bestFit="1" customWidth="1"/>
    <col min="13" max="13" width="24.3984375" bestFit="1" customWidth="1"/>
    <col min="14" max="14" width="24.8984375" bestFit="1" customWidth="1"/>
    <col min="15" max="15" width="24.5" bestFit="1" customWidth="1"/>
    <col min="16" max="16" width="35.69921875" bestFit="1" customWidth="1"/>
    <col min="17" max="17" width="19.8984375" bestFit="1" customWidth="1"/>
    <col min="18" max="18" width="17.5" bestFit="1" customWidth="1"/>
    <col min="19" max="19" width="30.59765625" bestFit="1" customWidth="1"/>
    <col min="20" max="20" width="20.19921875" bestFit="1" customWidth="1"/>
    <col min="21" max="21" width="26.796875" bestFit="1" customWidth="1"/>
    <col min="22" max="22" width="20.5" bestFit="1" customWidth="1"/>
    <col min="23" max="23" width="31.5" bestFit="1" customWidth="1"/>
    <col min="24" max="24" width="19.296875" bestFit="1" customWidth="1"/>
    <col min="25" max="25" width="22.3984375" bestFit="1" customWidth="1"/>
    <col min="26" max="26" width="17.69921875" bestFit="1" customWidth="1"/>
    <col min="27" max="27" width="26.796875" bestFit="1" customWidth="1"/>
    <col min="28" max="28" width="21.296875" bestFit="1" customWidth="1"/>
    <col min="29" max="29" width="20" bestFit="1" customWidth="1"/>
    <col min="30" max="30" width="36.69921875" bestFit="1" customWidth="1"/>
    <col min="31" max="31" width="20.5" bestFit="1" customWidth="1"/>
    <col min="32" max="32" width="27.8984375" bestFit="1" customWidth="1"/>
    <col min="33" max="33" width="28.19921875" bestFit="1" customWidth="1"/>
    <col min="34" max="34" width="38.8984375" bestFit="1" customWidth="1"/>
    <col min="35" max="35" width="18.59765625" bestFit="1" customWidth="1"/>
    <col min="36" max="36" width="34.5" bestFit="1" customWidth="1"/>
    <col min="37" max="37" width="23.796875" bestFit="1" customWidth="1"/>
    <col min="38" max="38" width="22.09765625" bestFit="1" customWidth="1"/>
    <col min="39" max="39" width="22.3984375" bestFit="1" customWidth="1"/>
    <col min="40" max="40" width="28.3984375" bestFit="1" customWidth="1"/>
    <col min="41" max="41" width="21.796875" bestFit="1" customWidth="1"/>
    <col min="42" max="42" width="25.09765625" bestFit="1" customWidth="1"/>
    <col min="43" max="43" width="22.59765625" bestFit="1" customWidth="1"/>
    <col min="44" max="44" width="21.296875" bestFit="1" customWidth="1"/>
    <col min="45" max="45" width="23.09765625" bestFit="1" customWidth="1"/>
    <col min="46" max="46" width="22.5" bestFit="1" customWidth="1"/>
    <col min="47" max="47" width="24.09765625" bestFit="1" customWidth="1"/>
    <col min="48" max="48" width="25.09765625" bestFit="1" customWidth="1"/>
    <col min="49" max="49" width="24.296875" bestFit="1" customWidth="1"/>
    <col min="50" max="50" width="20.8984375" bestFit="1" customWidth="1"/>
    <col min="51" max="51" width="20.69921875" bestFit="1" customWidth="1"/>
    <col min="52" max="52" width="23.296875" bestFit="1" customWidth="1"/>
    <col min="53" max="53" width="31.796875" bestFit="1" customWidth="1"/>
    <col min="54" max="54" width="25.3984375" bestFit="1" customWidth="1"/>
    <col min="55" max="55" width="20.8984375" bestFit="1" customWidth="1"/>
    <col min="56" max="56" width="24.796875" bestFit="1" customWidth="1"/>
    <col min="57" max="57" width="37.19921875" bestFit="1" customWidth="1"/>
    <col min="58" max="58" width="28.5" bestFit="1" customWidth="1"/>
    <col min="59" max="59" width="25.5" bestFit="1" customWidth="1"/>
    <col min="60" max="60" width="26.5" bestFit="1" customWidth="1"/>
    <col min="61" max="61" width="21" bestFit="1" customWidth="1"/>
    <col min="62" max="62" width="23.3984375" bestFit="1" customWidth="1"/>
    <col min="63" max="63" width="19.09765625" bestFit="1" customWidth="1"/>
    <col min="64" max="64" width="19.69921875" bestFit="1" customWidth="1"/>
    <col min="65" max="65" width="30.796875" bestFit="1" customWidth="1"/>
    <col min="66" max="66" width="28.09765625" bestFit="1" customWidth="1"/>
    <col min="67" max="67" width="29.09765625" bestFit="1" customWidth="1"/>
    <col min="68" max="68" width="30.5" bestFit="1" customWidth="1"/>
    <col min="69" max="69" width="46.5" bestFit="1" customWidth="1"/>
    <col min="70" max="70" width="29.5" bestFit="1" customWidth="1"/>
    <col min="71" max="71" width="28.09765625" bestFit="1" customWidth="1"/>
    <col min="72" max="73" width="20.8984375" bestFit="1" customWidth="1"/>
    <col min="74" max="74" width="31.5" bestFit="1" customWidth="1"/>
    <col min="75" max="75" width="37" bestFit="1" customWidth="1"/>
    <col min="76" max="76" width="22.09765625" bestFit="1" customWidth="1"/>
    <col min="77" max="77" width="38.8984375" bestFit="1" customWidth="1"/>
    <col min="78" max="78" width="24.59765625" bestFit="1" customWidth="1"/>
    <col min="79" max="79" width="14.8984375" bestFit="1" customWidth="1"/>
    <col min="80" max="80" width="13.8984375" bestFit="1" customWidth="1"/>
    <col min="81" max="81" width="26.19921875" bestFit="1" customWidth="1"/>
    <col min="82" max="82" width="30.09765625" bestFit="1" customWidth="1"/>
    <col min="83" max="83" width="78.09765625" bestFit="1" customWidth="1"/>
    <col min="84" max="84" width="37.296875" bestFit="1" customWidth="1"/>
    <col min="85" max="85" width="28.296875" bestFit="1" customWidth="1"/>
    <col min="86" max="86" width="35.296875" bestFit="1" customWidth="1"/>
    <col min="87" max="87" width="22.796875" bestFit="1" customWidth="1"/>
    <col min="88" max="88" width="21.19921875" bestFit="1" customWidth="1"/>
    <col min="89" max="89" width="23.296875" bestFit="1" customWidth="1"/>
    <col min="90" max="90" width="22.296875" bestFit="1" customWidth="1"/>
    <col min="91" max="91" width="28" bestFit="1" customWidth="1"/>
    <col min="92" max="92" width="24.296875" bestFit="1" customWidth="1"/>
    <col min="93" max="93" width="33.8984375" bestFit="1" customWidth="1"/>
    <col min="94" max="95" width="28.796875" bestFit="1" customWidth="1"/>
    <col min="96" max="96" width="35.5" bestFit="1" customWidth="1"/>
    <col min="97" max="97" width="29.8984375" bestFit="1" customWidth="1"/>
    <col min="98" max="98" width="25.3984375" bestFit="1" customWidth="1"/>
    <col min="99" max="99" width="19.19921875" bestFit="1" customWidth="1"/>
    <col min="100" max="100" width="23.3984375" bestFit="1" customWidth="1"/>
    <col min="101" max="101" width="20.59765625" bestFit="1" customWidth="1"/>
    <col min="102" max="102" width="18" bestFit="1" customWidth="1"/>
    <col min="103" max="103" width="70" bestFit="1" customWidth="1"/>
    <col min="104" max="104" width="31.19921875" bestFit="1" customWidth="1"/>
    <col min="105" max="105" width="28.69921875" bestFit="1" customWidth="1"/>
    <col min="106" max="106" width="26.296875" bestFit="1" customWidth="1"/>
    <col min="107" max="107" width="22.5" bestFit="1" customWidth="1"/>
    <col min="108" max="108" width="65.3984375" bestFit="1" customWidth="1"/>
    <col min="109" max="109" width="30.09765625" bestFit="1" customWidth="1"/>
    <col min="110" max="110" width="21.59765625" bestFit="1" customWidth="1"/>
    <col min="111" max="111" width="34.59765625" bestFit="1" customWidth="1"/>
    <col min="112" max="112" width="31.5" bestFit="1" customWidth="1"/>
    <col min="113" max="113" width="38" bestFit="1" customWidth="1"/>
    <col min="114" max="114" width="25.296875" bestFit="1" customWidth="1"/>
    <col min="115" max="115" width="23.796875" bestFit="1" customWidth="1"/>
    <col min="116" max="116" width="22.59765625" bestFit="1" customWidth="1"/>
    <col min="117" max="117" width="29" bestFit="1" customWidth="1"/>
    <col min="118" max="118" width="22.59765625" bestFit="1" customWidth="1"/>
    <col min="119" max="119" width="24.3984375" bestFit="1" customWidth="1"/>
    <col min="120" max="120" width="43.796875" bestFit="1" customWidth="1"/>
    <col min="121" max="121" width="31" bestFit="1" customWidth="1"/>
    <col min="122" max="122" width="38.09765625" bestFit="1" customWidth="1"/>
    <col min="123" max="123" width="31.8984375" bestFit="1" customWidth="1"/>
    <col min="124" max="124" width="31.5" bestFit="1" customWidth="1"/>
    <col min="125" max="125" width="21.59765625" bestFit="1" customWidth="1"/>
    <col min="126" max="126" width="29.09765625" bestFit="1" customWidth="1"/>
    <col min="127" max="127" width="24" bestFit="1" customWidth="1"/>
    <col min="128" max="128" width="22.8984375" bestFit="1" customWidth="1"/>
    <col min="129" max="129" width="41.796875" bestFit="1" customWidth="1"/>
    <col min="130" max="130" width="21.296875" bestFit="1" customWidth="1"/>
    <col min="131" max="131" width="32.69921875" bestFit="1" customWidth="1"/>
    <col min="132" max="132" width="15.3984375" bestFit="1" customWidth="1"/>
    <col min="133" max="133" width="20.8984375" bestFit="1" customWidth="1"/>
    <col min="134" max="134" width="29.09765625" bestFit="1" customWidth="1"/>
    <col min="135" max="135" width="24.3984375" bestFit="1" customWidth="1"/>
    <col min="136" max="136" width="24.5" bestFit="1" customWidth="1"/>
    <col min="137" max="137" width="36.5" bestFit="1" customWidth="1"/>
    <col min="138" max="138" width="28" bestFit="1" customWidth="1"/>
    <col min="139" max="139" width="21.8984375" bestFit="1" customWidth="1"/>
    <col min="140" max="140" width="26.796875" bestFit="1" customWidth="1"/>
    <col min="141" max="141" width="25.09765625" bestFit="1" customWidth="1"/>
    <col min="142" max="142" width="27.8984375" bestFit="1" customWidth="1"/>
    <col min="143" max="143" width="28.69921875" bestFit="1" customWidth="1"/>
    <col min="144" max="144" width="23.09765625" bestFit="1" customWidth="1"/>
    <col min="145" max="145" width="23.59765625" bestFit="1" customWidth="1"/>
    <col min="146" max="146" width="28.296875" bestFit="1" customWidth="1"/>
    <col min="147" max="147" width="23.296875" bestFit="1" customWidth="1"/>
    <col min="148" max="148" width="33" bestFit="1" customWidth="1"/>
    <col min="149" max="149" width="22.69921875" bestFit="1" customWidth="1"/>
    <col min="150" max="150" width="28.69921875" bestFit="1" customWidth="1"/>
    <col min="151" max="151" width="24.59765625" bestFit="1" customWidth="1"/>
    <col min="152" max="152" width="33.796875" bestFit="1" customWidth="1"/>
    <col min="153" max="153" width="21.5" bestFit="1" customWidth="1"/>
    <col min="154" max="154" width="25" bestFit="1" customWidth="1"/>
    <col min="155" max="155" width="18.5" bestFit="1" customWidth="1"/>
    <col min="156" max="156" width="27.796875" bestFit="1" customWidth="1"/>
    <col min="157" max="157" width="21.796875" bestFit="1" customWidth="1"/>
    <col min="158" max="158" width="25" bestFit="1" customWidth="1"/>
    <col min="159" max="159" width="26.5" bestFit="1" customWidth="1"/>
    <col min="160" max="160" width="30.19921875" bestFit="1" customWidth="1"/>
    <col min="161" max="161" width="19.296875" bestFit="1" customWidth="1"/>
    <col min="162" max="162" width="19.59765625" bestFit="1" customWidth="1"/>
    <col min="163" max="163" width="25.296875" bestFit="1" customWidth="1"/>
    <col min="164" max="164" width="44.09765625" bestFit="1" customWidth="1"/>
    <col min="165" max="165" width="19" bestFit="1" customWidth="1"/>
    <col min="166" max="166" width="18.59765625" bestFit="1" customWidth="1"/>
    <col min="167" max="167" width="26.69921875" bestFit="1" customWidth="1"/>
    <col min="168" max="168" width="17.8984375" bestFit="1" customWidth="1"/>
    <col min="169" max="169" width="80.8984375" bestFit="1" customWidth="1"/>
    <col min="170" max="170" width="24.296875" bestFit="1" customWidth="1"/>
    <col min="171" max="171" width="19.09765625" bestFit="1" customWidth="1"/>
    <col min="172" max="172" width="31.59765625" bestFit="1" customWidth="1"/>
    <col min="173" max="173" width="30.3984375" bestFit="1" customWidth="1"/>
    <col min="174" max="174" width="29.796875" bestFit="1" customWidth="1"/>
    <col min="175" max="175" width="18.3984375" bestFit="1" customWidth="1"/>
    <col min="176" max="176" width="33.09765625" bestFit="1" customWidth="1"/>
    <col min="177" max="177" width="10.8984375" bestFit="1" customWidth="1"/>
  </cols>
  <sheetData>
    <row r="3" spans="1:2" x14ac:dyDescent="0.3">
      <c r="A3" s="17" t="s">
        <v>929</v>
      </c>
      <c r="B3" t="s">
        <v>932</v>
      </c>
    </row>
    <row r="4" spans="1:2" x14ac:dyDescent="0.3">
      <c r="A4" s="16" t="s">
        <v>46</v>
      </c>
      <c r="B4" s="3">
        <v>1098</v>
      </c>
    </row>
    <row r="5" spans="1:2" x14ac:dyDescent="0.3">
      <c r="A5" s="16" t="s">
        <v>59</v>
      </c>
      <c r="B5" s="3">
        <v>3729</v>
      </c>
    </row>
    <row r="6" spans="1:2" x14ac:dyDescent="0.3">
      <c r="A6" s="16" t="s">
        <v>528</v>
      </c>
      <c r="B6" s="3">
        <v>1220</v>
      </c>
    </row>
    <row r="7" spans="1:2" x14ac:dyDescent="0.3">
      <c r="A7" s="16" t="s">
        <v>382</v>
      </c>
      <c r="B7" s="3">
        <v>994</v>
      </c>
    </row>
    <row r="8" spans="1:2" x14ac:dyDescent="0.3">
      <c r="A8" s="16" t="s">
        <v>423</v>
      </c>
      <c r="B8" s="3">
        <v>849</v>
      </c>
    </row>
    <row r="9" spans="1:2" x14ac:dyDescent="0.3">
      <c r="A9" s="16" t="s">
        <v>25</v>
      </c>
      <c r="B9" s="3">
        <v>11517</v>
      </c>
    </row>
    <row r="10" spans="1:2" x14ac:dyDescent="0.3">
      <c r="A10" s="16" t="s">
        <v>40</v>
      </c>
      <c r="B10" s="3">
        <v>33297</v>
      </c>
    </row>
    <row r="11" spans="1:2" x14ac:dyDescent="0.3">
      <c r="A11" s="16" t="s">
        <v>104</v>
      </c>
      <c r="B11" s="3">
        <v>1011</v>
      </c>
    </row>
    <row r="12" spans="1:2" x14ac:dyDescent="0.3">
      <c r="A12" s="16" t="s">
        <v>50</v>
      </c>
      <c r="B12" s="3">
        <v>4268</v>
      </c>
    </row>
    <row r="13" spans="1:2" x14ac:dyDescent="0.3">
      <c r="A13" s="16" t="s">
        <v>21</v>
      </c>
      <c r="B13" s="3">
        <v>14162</v>
      </c>
    </row>
    <row r="14" spans="1:2" x14ac:dyDescent="0.3">
      <c r="A14" s="16" t="s">
        <v>930</v>
      </c>
      <c r="B14" s="3">
        <v>72145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FE7AF-1C67-4EE8-AC2B-3660F3591D7E}">
  <dimension ref="A1"/>
  <sheetViews>
    <sheetView showGridLines="0" showRowColHeaders="0" tabSelected="1" zoomScale="80" zoomScaleNormal="80" workbookViewId="0">
      <selection activeCell="X8" sqref="X8"/>
    </sheetView>
  </sheetViews>
  <sheetFormatPr defaultRowHeight="15.6" x14ac:dyDescent="0.3"/>
  <cols>
    <col min="1" max="16384" width="8.796875"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Pivot Plantsize</vt:lpstr>
      <vt:lpstr>Pivot Plant location</vt:lpstr>
      <vt:lpstr>Pivot 10 Brand name</vt:lpstr>
      <vt:lpstr>Pivot Nonreturn</vt:lpstr>
      <vt:lpstr>Pivot Plantype</vt:lpstr>
      <vt:lpstr>DATA</vt:lpstr>
      <vt:lpstr>Special Price Box n Whiske </vt:lpstr>
      <vt:lpstr>Rating Histo</vt:lpstr>
      <vt:lpstr>Special discount Scatter</vt:lpstr>
      <vt:lpstr>Plant OriginalPrice vs SpecialP</vt:lpstr>
      <vt:lpstr>Pivot Product specialprice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SONALI SHEKHAWAT</dc:creator>
  <cp:lastModifiedBy>Sonali Shekhawat</cp:lastModifiedBy>
  <dcterms:created xsi:type="dcterms:W3CDTF">2025-12-01T13:54:48Z</dcterms:created>
  <dcterms:modified xsi:type="dcterms:W3CDTF">2026-03-10T17:08:26Z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2025-08-04T12:35:05.021Z</dcterms:created>
  <dcterms:modified xsi:type="dcterms:W3CDTF">2025-08-04T12:35:05.021Z</dcterms:modified>
  <cp:revision>0</cp:revision>
</cp:coreProperties>
</file>